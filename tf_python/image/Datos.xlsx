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SUS\Downloads\"/>
    </mc:Choice>
  </mc:AlternateContent>
  <xr:revisionPtr revIDLastSave="0" documentId="13_ncr:1_{A49CE526-7A49-4883-A54F-73726A81A1BF}" xr6:coauthVersionLast="44" xr6:coauthVersionMax="44" xr10:uidLastSave="{00000000-0000-0000-0000-000000000000}"/>
  <bookViews>
    <workbookView xWindow="-120" yWindow="330" windowWidth="29040" windowHeight="15990" xr2:uid="{00000000-000D-0000-FFFF-FFFF00000000}"/>
  </bookViews>
  <sheets>
    <sheet name="data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L4" i="1"/>
  <c r="L5" i="1"/>
  <c r="L6" i="1"/>
  <c r="L3" i="1"/>
</calcChain>
</file>

<file path=xl/sharedStrings.xml><?xml version="1.0" encoding="utf-8"?>
<sst xmlns="http://schemas.openxmlformats.org/spreadsheetml/2006/main" count="5050" uniqueCount="15">
  <si>
    <t>replica</t>
  </si>
  <si>
    <t>tamanho</t>
  </si>
  <si>
    <t>algoritmo</t>
  </si>
  <si>
    <t>localidad</t>
  </si>
  <si>
    <t>tiempo</t>
  </si>
  <si>
    <t>8_1</t>
  </si>
  <si>
    <t>si</t>
  </si>
  <si>
    <t>8_2</t>
  </si>
  <si>
    <t>16_2</t>
  </si>
  <si>
    <t>no</t>
  </si>
  <si>
    <t>tiempo normalizado</t>
  </si>
  <si>
    <t>ancho</t>
  </si>
  <si>
    <t>alto</t>
  </si>
  <si>
    <t>numero</t>
  </si>
  <si>
    <t>factor normalizador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</si>
</sst>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863A9D-F284-4FEB-8988-3B00CE164B46}" name="Tabla1" displayName="Tabla1" ref="A1:F2521" totalsRowShown="0" headerRowDxfId="1" dataDxfId="2">
  <autoFilter ref="A1:F2521" xr:uid="{A0B8C6C1-CA86-4171-9592-8BADFC7B8EE2}"/>
  <tableColumns count="6">
    <tableColumn id="1" xr3:uid="{4CEE009A-3631-449B-89E7-7DB347B2D680}" name="replica" dataDxfId="7"/>
    <tableColumn id="2" xr3:uid="{E5369DFB-104F-4666-B64E-66E69B09083C}" name="tamanho" dataDxfId="6"/>
    <tableColumn id="3" xr3:uid="{01875BD7-609E-44A6-9D30-94AFA3444F91}" name="algoritmo" dataDxfId="5"/>
    <tableColumn id="4" xr3:uid="{8AD97360-E11E-4317-84C6-BFE58519426D}" name="localidad" dataDxfId="4"/>
    <tableColumn id="5" xr3:uid="{A4269261-D0C4-48B5-ACE0-2CDE382607DF}" name="tiempo" dataDxfId="3"/>
    <tableColumn id="6" xr3:uid="{BD494E47-4F1D-43ED-A647-003F8875C33B}" name="tiempo normalizado" dataDxfId="0">
      <calculatedColumnFormula>Tabla1[[#This Row],[tiempo]]/(IF(Tabla1[[#This Row],[tamanho]]=$I$3,$L$3,IF(Tabla1[[#This Row],[tamanho]]=$I$4,$L$4,IF(Tabla1[[#This Row],[tamanho]]=$I$5,$L$5,IF(Tabla1[[#This Row],[tamanho]]=$I$6,$L$6,0))))*IF(C2="8_1",9,25))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521"/>
  <sheetViews>
    <sheetView tabSelected="1" zoomScale="110" workbookViewId="0">
      <selection activeCell="I2521" sqref="I2521"/>
    </sheetView>
  </sheetViews>
  <sheetFormatPr baseColWidth="10" defaultColWidth="14.42578125" defaultRowHeight="15.75" customHeight="1" x14ac:dyDescent="0.2"/>
  <cols>
    <col min="6" max="6" width="21.7109375" bestFit="1" customWidth="1"/>
    <col min="12" max="12" width="18.5703125" bestFit="1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12" ht="15.75" customHeight="1" x14ac:dyDescent="0.2">
      <c r="A2" s="1">
        <v>0</v>
      </c>
      <c r="B2" s="1">
        <v>1</v>
      </c>
      <c r="C2" s="1" t="s">
        <v>5</v>
      </c>
      <c r="D2" s="1" t="s">
        <v>6</v>
      </c>
      <c r="E2" s="1">
        <v>0.40868258476257302</v>
      </c>
      <c r="F2" s="1">
        <f>Tabla1[[#This Row],[tiempo]]/(IF(Tabla1[[#This Row],[tamanho]]=$I$3,$L$3,IF(Tabla1[[#This Row],[tamanho]]=$I$4,$L$4,IF(Tabla1[[#This Row],[tamanho]]=$I$5,$L$5,IF(Tabla1[[#This Row],[tamanho]]=$I$6,$L$6,0))))*IF(C2="8_1",9,25))</f>
        <v>1.684254148018632E-6</v>
      </c>
      <c r="I2" t="s">
        <v>13</v>
      </c>
      <c r="J2" t="s">
        <v>11</v>
      </c>
      <c r="K2" t="s">
        <v>12</v>
      </c>
      <c r="L2" t="s">
        <v>14</v>
      </c>
    </row>
    <row r="3" spans="1:12" ht="15.75" customHeight="1" x14ac:dyDescent="0.2">
      <c r="A3" s="1">
        <v>0</v>
      </c>
      <c r="B3" s="1">
        <v>1</v>
      </c>
      <c r="C3" s="1" t="s">
        <v>7</v>
      </c>
      <c r="D3" s="1" t="s">
        <v>6</v>
      </c>
      <c r="E3" s="1">
        <v>0.45774531364440901</v>
      </c>
      <c r="F3" s="1">
        <f>Tabla1[[#This Row],[tiempo]]/(IF(Tabla1[[#This Row],[tamanho]]=$I$3,$L$3,IF(Tabla1[[#This Row],[tamanho]]=$I$4,$L$4,IF(Tabla1[[#This Row],[tamanho]]=$I$5,$L$5,IF(Tabla1[[#This Row],[tamanho]]=$I$6,$L$6,0))))*IF(C3="8_1",9,25))</f>
        <v>6.7912215962970071E-7</v>
      </c>
      <c r="I3">
        <v>1</v>
      </c>
      <c r="J3">
        <v>209</v>
      </c>
      <c r="K3">
        <v>129</v>
      </c>
      <c r="L3">
        <f>J3*K3</f>
        <v>26961</v>
      </c>
    </row>
    <row r="4" spans="1:12" ht="15.75" customHeight="1" x14ac:dyDescent="0.2">
      <c r="A4" s="1">
        <v>0</v>
      </c>
      <c r="B4" s="1">
        <v>1</v>
      </c>
      <c r="C4" s="1" t="s">
        <v>8</v>
      </c>
      <c r="D4" s="1" t="s">
        <v>6</v>
      </c>
      <c r="E4" s="1">
        <v>0.458655595779418</v>
      </c>
      <c r="F4" s="1">
        <f>Tabla1[[#This Row],[tiempo]]/(IF(Tabla1[[#This Row],[tamanho]]=$I$3,$L$3,IF(Tabla1[[#This Row],[tamanho]]=$I$4,$L$4,IF(Tabla1[[#This Row],[tamanho]]=$I$5,$L$5,IF(Tabla1[[#This Row],[tamanho]]=$I$6,$L$6,0))))*IF(C4="8_1",9,25))</f>
        <v>6.8047267650223365E-7</v>
      </c>
      <c r="I4">
        <v>2</v>
      </c>
      <c r="J4">
        <v>419</v>
      </c>
      <c r="K4">
        <v>438</v>
      </c>
      <c r="L4">
        <f t="shared" ref="L4:L6" si="0">J4*K4</f>
        <v>183522</v>
      </c>
    </row>
    <row r="5" spans="1:12" ht="15.75" customHeight="1" x14ac:dyDescent="0.2">
      <c r="A5" s="1">
        <v>0</v>
      </c>
      <c r="B5" s="1">
        <v>1</v>
      </c>
      <c r="C5" s="1" t="s">
        <v>5</v>
      </c>
      <c r="D5" s="1" t="s">
        <v>9</v>
      </c>
      <c r="E5" s="1">
        <v>0.41238880157470698</v>
      </c>
      <c r="F5" s="1">
        <f>Tabla1[[#This Row],[tiempo]]/(IF(Tabla1[[#This Row],[tamanho]]=$I$3,$L$3,IF(Tabla1[[#This Row],[tamanho]]=$I$4,$L$4,IF(Tabla1[[#This Row],[tamanho]]=$I$5,$L$5,IF(Tabla1[[#This Row],[tamanho]]=$I$6,$L$6,0))))*IF(C5="8_1",9,25))</f>
        <v>1.6995281314767708E-6</v>
      </c>
      <c r="I5">
        <v>3</v>
      </c>
      <c r="J5">
        <v>629</v>
      </c>
      <c r="K5">
        <v>657</v>
      </c>
      <c r="L5">
        <f t="shared" si="0"/>
        <v>413253</v>
      </c>
    </row>
    <row r="6" spans="1:12" ht="15.75" customHeight="1" x14ac:dyDescent="0.2">
      <c r="A6" s="1">
        <v>0</v>
      </c>
      <c r="B6" s="1">
        <v>1</v>
      </c>
      <c r="C6" s="1" t="s">
        <v>7</v>
      </c>
      <c r="D6" s="1" t="s">
        <v>9</v>
      </c>
      <c r="E6" s="1">
        <v>0.45937538146972601</v>
      </c>
      <c r="F6" s="1">
        <f>Tabla1[[#This Row],[tiempo]]/(IF(Tabla1[[#This Row],[tamanho]]=$I$3,$L$3,IF(Tabla1[[#This Row],[tamanho]]=$I$4,$L$4,IF(Tabla1[[#This Row],[tamanho]]=$I$5,$L$5,IF(Tabla1[[#This Row],[tamanho]]=$I$6,$L$6,0))))*IF(C6="8_1",9,25))</f>
        <v>6.8154056818326621E-7</v>
      </c>
      <c r="I6">
        <v>4</v>
      </c>
      <c r="J6">
        <v>839</v>
      </c>
      <c r="K6">
        <v>877</v>
      </c>
      <c r="L6">
        <f t="shared" si="0"/>
        <v>735803</v>
      </c>
    </row>
    <row r="7" spans="1:12" ht="15.75" customHeight="1" x14ac:dyDescent="0.2">
      <c r="A7" s="1">
        <v>0</v>
      </c>
      <c r="B7" s="1">
        <v>1</v>
      </c>
      <c r="C7" s="1" t="s">
        <v>8</v>
      </c>
      <c r="D7" s="1" t="s">
        <v>9</v>
      </c>
      <c r="E7" s="1">
        <v>0.47849369049072199</v>
      </c>
      <c r="F7" s="1">
        <f>Tabla1[[#This Row],[tiempo]]/(IF(Tabla1[[#This Row],[tamanho]]=$I$3,$L$3,IF(Tabla1[[#This Row],[tamanho]]=$I$4,$L$4,IF(Tabla1[[#This Row],[tamanho]]=$I$5,$L$5,IF(Tabla1[[#This Row],[tamanho]]=$I$6,$L$6,0))))*IF(C7="8_1",9,25))</f>
        <v>7.0990495974292049E-7</v>
      </c>
    </row>
    <row r="8" spans="1:12" ht="15.75" customHeight="1" x14ac:dyDescent="0.2">
      <c r="A8" s="1">
        <v>0</v>
      </c>
      <c r="B8" s="1">
        <v>2</v>
      </c>
      <c r="C8" s="1" t="s">
        <v>5</v>
      </c>
      <c r="D8" s="1" t="s">
        <v>6</v>
      </c>
      <c r="E8" s="1">
        <v>1.67469882965087</v>
      </c>
      <c r="F8" s="1">
        <f>Tabla1[[#This Row],[tiempo]]/(IF(Tabla1[[#This Row],[tamanho]]=$I$3,$L$3,IF(Tabla1[[#This Row],[tamanho]]=$I$4,$L$4,IF(Tabla1[[#This Row],[tamanho]]=$I$5,$L$5,IF(Tabla1[[#This Row],[tamanho]]=$I$6,$L$6,0))))*IF(C8="8_1",9,25))</f>
        <v>1.0139255660846414E-6</v>
      </c>
    </row>
    <row r="9" spans="1:12" ht="15.75" customHeight="1" x14ac:dyDescent="0.2">
      <c r="A9" s="1">
        <v>0</v>
      </c>
      <c r="B9" s="1">
        <v>2</v>
      </c>
      <c r="C9" s="1" t="s">
        <v>7</v>
      </c>
      <c r="D9" s="1" t="s">
        <v>6</v>
      </c>
      <c r="E9" s="1">
        <v>1.88995909690856</v>
      </c>
      <c r="F9" s="1">
        <f>Tabla1[[#This Row],[tiempo]]/(IF(Tabla1[[#This Row],[tamanho]]=$I$3,$L$3,IF(Tabla1[[#This Row],[tamanho]]=$I$4,$L$4,IF(Tabla1[[#This Row],[tamanho]]=$I$5,$L$5,IF(Tabla1[[#This Row],[tamanho]]=$I$6,$L$6,0))))*IF(C9="8_1",9,25))</f>
        <v>4.1193079781357222E-7</v>
      </c>
    </row>
    <row r="10" spans="1:12" ht="15.75" customHeight="1" x14ac:dyDescent="0.2">
      <c r="A10" s="1">
        <v>0</v>
      </c>
      <c r="B10" s="1">
        <v>2</v>
      </c>
      <c r="C10" s="1" t="s">
        <v>8</v>
      </c>
      <c r="D10" s="1" t="s">
        <v>6</v>
      </c>
      <c r="E10" s="1">
        <v>1.8981235027313199</v>
      </c>
      <c r="F10" s="1">
        <f>Tabla1[[#This Row],[tiempo]]/(IF(Tabla1[[#This Row],[tamanho]]=$I$3,$L$3,IF(Tabla1[[#This Row],[tamanho]]=$I$4,$L$4,IF(Tabla1[[#This Row],[tamanho]]=$I$5,$L$5,IF(Tabla1[[#This Row],[tamanho]]=$I$6,$L$6,0))))*IF(C10="8_1",9,25))</f>
        <v>4.1371029145962227E-7</v>
      </c>
    </row>
    <row r="11" spans="1:12" ht="15.75" customHeight="1" x14ac:dyDescent="0.2">
      <c r="A11" s="1">
        <v>0</v>
      </c>
      <c r="B11" s="1">
        <v>2</v>
      </c>
      <c r="C11" s="1" t="s">
        <v>5</v>
      </c>
      <c r="D11" s="1" t="s">
        <v>9</v>
      </c>
      <c r="E11" s="1">
        <v>1.68436503410339</v>
      </c>
      <c r="F11" s="1">
        <f>Tabla1[[#This Row],[tiempo]]/(IF(Tabla1[[#This Row],[tamanho]]=$I$3,$L$3,IF(Tabla1[[#This Row],[tamanho]]=$I$4,$L$4,IF(Tabla1[[#This Row],[tamanho]]=$I$5,$L$5,IF(Tabla1[[#This Row],[tamanho]]=$I$6,$L$6,0))))*IF(C11="8_1",9,25))</f>
        <v>1.0197778492820056E-6</v>
      </c>
    </row>
    <row r="12" spans="1:12" ht="15.75" customHeight="1" x14ac:dyDescent="0.2">
      <c r="A12" s="1">
        <v>0</v>
      </c>
      <c r="B12" s="1">
        <v>2</v>
      </c>
      <c r="C12" s="1" t="s">
        <v>7</v>
      </c>
      <c r="D12" s="1" t="s">
        <v>9</v>
      </c>
      <c r="E12" s="1">
        <v>1.9117293357849101</v>
      </c>
      <c r="F12" s="1">
        <f>Tabla1[[#This Row],[tiempo]]/(IF(Tabla1[[#This Row],[tamanho]]=$I$3,$L$3,IF(Tabla1[[#This Row],[tamanho]]=$I$4,$L$4,IF(Tabla1[[#This Row],[tamanho]]=$I$5,$L$5,IF(Tabla1[[#This Row],[tamanho]]=$I$6,$L$6,0))))*IF(C12="8_1",9,25))</f>
        <v>4.1667578509059627E-7</v>
      </c>
    </row>
    <row r="13" spans="1:12" ht="15.75" customHeight="1" x14ac:dyDescent="0.2">
      <c r="A13" s="1">
        <v>0</v>
      </c>
      <c r="B13" s="1">
        <v>2</v>
      </c>
      <c r="C13" s="1" t="s">
        <v>8</v>
      </c>
      <c r="D13" s="1" t="s">
        <v>9</v>
      </c>
      <c r="E13" s="1">
        <v>1.9070866107940601</v>
      </c>
      <c r="F13" s="1">
        <f>Tabla1[[#This Row],[tiempo]]/(IF(Tabla1[[#This Row],[tamanho]]=$I$3,$L$3,IF(Tabla1[[#This Row],[tamanho]]=$I$4,$L$4,IF(Tabla1[[#This Row],[tamanho]]=$I$5,$L$5,IF(Tabla1[[#This Row],[tamanho]]=$I$6,$L$6,0))))*IF(C13="8_1",9,25))</f>
        <v>4.1566386826518019E-7</v>
      </c>
    </row>
    <row r="14" spans="1:12" ht="15.75" customHeight="1" x14ac:dyDescent="0.2">
      <c r="A14" s="1">
        <v>0</v>
      </c>
      <c r="B14" s="1">
        <v>3</v>
      </c>
      <c r="C14" s="1" t="s">
        <v>5</v>
      </c>
      <c r="D14" s="1" t="s">
        <v>6</v>
      </c>
      <c r="E14" s="1">
        <v>3.7937798500061</v>
      </c>
      <c r="F14" s="1">
        <f>Tabla1[[#This Row],[tiempo]]/(IF(Tabla1[[#This Row],[tamanho]]=$I$3,$L$3,IF(Tabla1[[#This Row],[tamanho]]=$I$4,$L$4,IF(Tabla1[[#This Row],[tamanho]]=$I$5,$L$5,IF(Tabla1[[#This Row],[tamanho]]=$I$6,$L$6,0))))*IF(C14="8_1",9,25))</f>
        <v>1.0200315410780375E-6</v>
      </c>
    </row>
    <row r="15" spans="1:12" ht="15.75" customHeight="1" x14ac:dyDescent="0.2">
      <c r="A15" s="1">
        <v>0</v>
      </c>
      <c r="B15" s="1">
        <v>3</v>
      </c>
      <c r="C15" s="1" t="s">
        <v>7</v>
      </c>
      <c r="D15" s="1" t="s">
        <v>6</v>
      </c>
      <c r="E15" s="1">
        <v>4.2462236881256104</v>
      </c>
      <c r="F15" s="1">
        <f>Tabla1[[#This Row],[tiempo]]/(IF(Tabla1[[#This Row],[tamanho]]=$I$3,$L$3,IF(Tabla1[[#This Row],[tamanho]]=$I$4,$L$4,IF(Tabla1[[#This Row],[tamanho]]=$I$5,$L$5,IF(Tabla1[[#This Row],[tamanho]]=$I$6,$L$6,0))))*IF(C15="8_1",9,25))</f>
        <v>4.1100475380704897E-7</v>
      </c>
    </row>
    <row r="16" spans="1:12" ht="15.75" customHeight="1" x14ac:dyDescent="0.2">
      <c r="A16" s="1">
        <v>0</v>
      </c>
      <c r="B16" s="1">
        <v>3</v>
      </c>
      <c r="C16" s="1" t="s">
        <v>8</v>
      </c>
      <c r="D16" s="1" t="s">
        <v>6</v>
      </c>
      <c r="E16" s="1">
        <v>4.2861690521240199</v>
      </c>
      <c r="F16" s="1">
        <f>Tabla1[[#This Row],[tiempo]]/(IF(Tabla1[[#This Row],[tamanho]]=$I$3,$L$3,IF(Tabla1[[#This Row],[tamanho]]=$I$4,$L$4,IF(Tabla1[[#This Row],[tamanho]]=$I$5,$L$5,IF(Tabla1[[#This Row],[tamanho]]=$I$6,$L$6,0))))*IF(C16="8_1",9,25))</f>
        <v>4.1487118565372978E-7</v>
      </c>
    </row>
    <row r="17" spans="1:6" ht="15.75" customHeight="1" x14ac:dyDescent="0.2">
      <c r="A17" s="1">
        <v>0</v>
      </c>
      <c r="B17" s="1">
        <v>3</v>
      </c>
      <c r="C17" s="1" t="s">
        <v>5</v>
      </c>
      <c r="D17" s="1" t="s">
        <v>9</v>
      </c>
      <c r="E17" s="1">
        <v>3.8238000869750901</v>
      </c>
      <c r="F17" s="1">
        <f>Tabla1[[#This Row],[tiempo]]/(IF(Tabla1[[#This Row],[tamanho]]=$I$3,$L$3,IF(Tabla1[[#This Row],[tamanho]]=$I$4,$L$4,IF(Tabla1[[#This Row],[tamanho]]=$I$5,$L$5,IF(Tabla1[[#This Row],[tamanho]]=$I$6,$L$6,0))))*IF(C17="8_1",9,25))</f>
        <v>1.02810306599242E-6</v>
      </c>
    </row>
    <row r="18" spans="1:6" ht="15.75" customHeight="1" x14ac:dyDescent="0.2">
      <c r="A18" s="1">
        <v>0</v>
      </c>
      <c r="B18" s="1">
        <v>3</v>
      </c>
      <c r="C18" s="1" t="s">
        <v>7</v>
      </c>
      <c r="D18" s="1" t="s">
        <v>9</v>
      </c>
      <c r="E18" s="1">
        <v>4.25913214683532</v>
      </c>
      <c r="F18" s="1">
        <f>Tabla1[[#This Row],[tiempo]]/(IF(Tabla1[[#This Row],[tamanho]]=$I$3,$L$3,IF(Tabla1[[#This Row],[tamanho]]=$I$4,$L$4,IF(Tabla1[[#This Row],[tamanho]]=$I$5,$L$5,IF(Tabla1[[#This Row],[tamanho]]=$I$6,$L$6,0))))*IF(C18="8_1",9,25))</f>
        <v>4.1225420232499897E-7</v>
      </c>
    </row>
    <row r="19" spans="1:6" ht="15.75" customHeight="1" x14ac:dyDescent="0.2">
      <c r="A19" s="1">
        <v>0</v>
      </c>
      <c r="B19" s="1">
        <v>3</v>
      </c>
      <c r="C19" s="1" t="s">
        <v>8</v>
      </c>
      <c r="D19" s="1" t="s">
        <v>9</v>
      </c>
      <c r="E19" s="1">
        <v>4.3120837211608798</v>
      </c>
      <c r="F19" s="1">
        <f>Tabla1[[#This Row],[tiempo]]/(IF(Tabla1[[#This Row],[tamanho]]=$I$3,$L$3,IF(Tabla1[[#This Row],[tamanho]]=$I$4,$L$4,IF(Tabla1[[#This Row],[tamanho]]=$I$5,$L$5,IF(Tabla1[[#This Row],[tamanho]]=$I$6,$L$6,0))))*IF(C19="8_1",9,25))</f>
        <v>4.1737954436249753E-7</v>
      </c>
    </row>
    <row r="20" spans="1:6" ht="15.75" customHeight="1" x14ac:dyDescent="0.2">
      <c r="A20" s="1">
        <v>0</v>
      </c>
      <c r="B20" s="1">
        <v>4</v>
      </c>
      <c r="C20" s="1" t="s">
        <v>5</v>
      </c>
      <c r="D20" s="1" t="s">
        <v>6</v>
      </c>
      <c r="E20" s="1">
        <v>6.8140316009521404</v>
      </c>
      <c r="F20" s="1">
        <f>Tabla1[[#This Row],[tiempo]]/(IF(Tabla1[[#This Row],[tamanho]]=$I$3,$L$3,IF(Tabla1[[#This Row],[tamanho]]=$I$4,$L$4,IF(Tabla1[[#This Row],[tamanho]]=$I$5,$L$5,IF(Tabla1[[#This Row],[tamanho]]=$I$6,$L$6,0))))*IF(C20="8_1",9,25))</f>
        <v>1.028963761126301E-6</v>
      </c>
    </row>
    <row r="21" spans="1:6" ht="15.75" customHeight="1" x14ac:dyDescent="0.2">
      <c r="A21" s="1">
        <v>0</v>
      </c>
      <c r="B21" s="1">
        <v>4</v>
      </c>
      <c r="C21" s="1" t="s">
        <v>7</v>
      </c>
      <c r="D21" s="1" t="s">
        <v>6</v>
      </c>
      <c r="E21" s="1">
        <v>7.6753060817718497</v>
      </c>
      <c r="F21" s="1">
        <f>Tabla1[[#This Row],[tiempo]]/(IF(Tabla1[[#This Row],[tamanho]]=$I$3,$L$3,IF(Tabla1[[#This Row],[tamanho]]=$I$4,$L$4,IF(Tabla1[[#This Row],[tamanho]]=$I$5,$L$5,IF(Tabla1[[#This Row],[tamanho]]=$I$6,$L$6,0))))*IF(C21="8_1",9,25))</f>
        <v>4.1724788193425955E-7</v>
      </c>
    </row>
    <row r="22" spans="1:6" ht="15.75" customHeight="1" x14ac:dyDescent="0.2">
      <c r="A22" s="1">
        <v>0</v>
      </c>
      <c r="B22" s="1">
        <v>4</v>
      </c>
      <c r="C22" s="1" t="s">
        <v>8</v>
      </c>
      <c r="D22" s="1" t="s">
        <v>6</v>
      </c>
      <c r="E22" s="1">
        <v>7.5830767154693604</v>
      </c>
      <c r="F22" s="1">
        <f>Tabla1[[#This Row],[tiempo]]/(IF(Tabla1[[#This Row],[tamanho]]=$I$3,$L$3,IF(Tabla1[[#This Row],[tamanho]]=$I$4,$L$4,IF(Tabla1[[#This Row],[tamanho]]=$I$5,$L$5,IF(Tabla1[[#This Row],[tamanho]]=$I$6,$L$6,0))))*IF(C22="8_1",9,25))</f>
        <v>4.1223407436334779E-7</v>
      </c>
    </row>
    <row r="23" spans="1:6" ht="15.75" customHeight="1" x14ac:dyDescent="0.2">
      <c r="A23" s="1">
        <v>0</v>
      </c>
      <c r="B23" s="1">
        <v>4</v>
      </c>
      <c r="C23" s="1" t="s">
        <v>5</v>
      </c>
      <c r="D23" s="1" t="s">
        <v>9</v>
      </c>
      <c r="E23" s="1">
        <v>6.8317103385925204</v>
      </c>
      <c r="F23" s="1">
        <f>Tabla1[[#This Row],[tiempo]]/(IF(Tabla1[[#This Row],[tamanho]]=$I$3,$L$3,IF(Tabla1[[#This Row],[tamanho]]=$I$4,$L$4,IF(Tabla1[[#This Row],[tamanho]]=$I$5,$L$5,IF(Tabla1[[#This Row],[tamanho]]=$I$6,$L$6,0))))*IF(C23="8_1",9,25))</f>
        <v>1.0316333672331861E-6</v>
      </c>
    </row>
    <row r="24" spans="1:6" ht="15.75" customHeight="1" x14ac:dyDescent="0.2">
      <c r="A24" s="1">
        <v>0</v>
      </c>
      <c r="B24" s="1">
        <v>4</v>
      </c>
      <c r="C24" s="1" t="s">
        <v>7</v>
      </c>
      <c r="D24" s="1" t="s">
        <v>9</v>
      </c>
      <c r="E24" s="1">
        <v>7.5965211391448904</v>
      </c>
      <c r="F24" s="1">
        <f>Tabla1[[#This Row],[tiempo]]/(IF(Tabla1[[#This Row],[tamanho]]=$I$3,$L$3,IF(Tabla1[[#This Row],[tamanho]]=$I$4,$L$4,IF(Tabla1[[#This Row],[tamanho]]=$I$5,$L$5,IF(Tabla1[[#This Row],[tamanho]]=$I$6,$L$6,0))))*IF(C24="8_1",9,25))</f>
        <v>4.1296494519021481E-7</v>
      </c>
    </row>
    <row r="25" spans="1:6" ht="15.75" customHeight="1" x14ac:dyDescent="0.2">
      <c r="A25" s="1">
        <v>0</v>
      </c>
      <c r="B25" s="1">
        <v>4</v>
      </c>
      <c r="C25" s="1" t="s">
        <v>8</v>
      </c>
      <c r="D25" s="1" t="s">
        <v>9</v>
      </c>
      <c r="E25" s="1">
        <v>7.6818208694457999</v>
      </c>
      <c r="F25" s="1">
        <f>Tabla1[[#This Row],[tiempo]]/(IF(Tabla1[[#This Row],[tamanho]]=$I$3,$L$3,IF(Tabla1[[#This Row],[tamanho]]=$I$4,$L$4,IF(Tabla1[[#This Row],[tamanho]]=$I$5,$L$5,IF(Tabla1[[#This Row],[tamanho]]=$I$6,$L$6,0))))*IF(C25="8_1",9,25))</f>
        <v>4.1760204127712443E-7</v>
      </c>
    </row>
    <row r="26" spans="1:6" ht="15.75" customHeight="1" x14ac:dyDescent="0.2">
      <c r="A26" s="1">
        <v>1</v>
      </c>
      <c r="B26" s="1">
        <v>1</v>
      </c>
      <c r="C26" s="1" t="s">
        <v>5</v>
      </c>
      <c r="D26" s="1" t="s">
        <v>6</v>
      </c>
      <c r="E26" s="1">
        <v>0.40147924423217701</v>
      </c>
      <c r="F26" s="1">
        <f>Tabla1[[#This Row],[tiempo]]/(IF(Tabla1[[#This Row],[tamanho]]=$I$3,$L$3,IF(Tabla1[[#This Row],[tamanho]]=$I$4,$L$4,IF(Tabla1[[#This Row],[tamanho]]=$I$5,$L$5,IF(Tabla1[[#This Row],[tamanho]]=$I$6,$L$6,0))))*IF(C26="8_1",9,25))</f>
        <v>1.6545678912015999E-6</v>
      </c>
    </row>
    <row r="27" spans="1:6" ht="15.75" customHeight="1" x14ac:dyDescent="0.2">
      <c r="A27" s="1">
        <v>1</v>
      </c>
      <c r="B27" s="1">
        <v>1</v>
      </c>
      <c r="C27" s="1" t="s">
        <v>7</v>
      </c>
      <c r="D27" s="1" t="s">
        <v>6</v>
      </c>
      <c r="E27" s="1">
        <v>0.45012569427490201</v>
      </c>
      <c r="F27" s="1">
        <f>Tabla1[[#This Row],[tiempo]]/(IF(Tabla1[[#This Row],[tamanho]]=$I$3,$L$3,IF(Tabla1[[#This Row],[tamanho]]=$I$4,$L$4,IF(Tabla1[[#This Row],[tamanho]]=$I$5,$L$5,IF(Tabla1[[#This Row],[tamanho]]=$I$6,$L$6,0))))*IF(C27="8_1",9,25))</f>
        <v>6.678175056932636E-7</v>
      </c>
    </row>
    <row r="28" spans="1:6" ht="15.75" customHeight="1" x14ac:dyDescent="0.2">
      <c r="A28" s="1">
        <v>1</v>
      </c>
      <c r="B28" s="1">
        <v>1</v>
      </c>
      <c r="C28" s="1" t="s">
        <v>8</v>
      </c>
      <c r="D28" s="1" t="s">
        <v>6</v>
      </c>
      <c r="E28" s="1">
        <v>0.45369720458984297</v>
      </c>
      <c r="F28" s="1">
        <f>Tabla1[[#This Row],[tiempo]]/(IF(Tabla1[[#This Row],[tamanho]]=$I$3,$L$3,IF(Tabla1[[#This Row],[tamanho]]=$I$4,$L$4,IF(Tabla1[[#This Row],[tamanho]]=$I$5,$L$5,IF(Tabla1[[#This Row],[tamanho]]=$I$6,$L$6,0))))*IF(C28="8_1",9,25))</f>
        <v>6.7311628587937092E-7</v>
      </c>
    </row>
    <row r="29" spans="1:6" ht="15.75" customHeight="1" x14ac:dyDescent="0.2">
      <c r="A29" s="1">
        <v>1</v>
      </c>
      <c r="B29" s="1">
        <v>1</v>
      </c>
      <c r="C29" s="1" t="s">
        <v>5</v>
      </c>
      <c r="D29" s="1" t="s">
        <v>9</v>
      </c>
      <c r="E29" s="1">
        <v>0.40413570404052701</v>
      </c>
      <c r="F29" s="1">
        <f>Tabla1[[#This Row],[tiempo]]/(IF(Tabla1[[#This Row],[tamanho]]=$I$3,$L$3,IF(Tabla1[[#This Row],[tamanho]]=$I$4,$L$4,IF(Tabla1[[#This Row],[tamanho]]=$I$5,$L$5,IF(Tabla1[[#This Row],[tamanho]]=$I$6,$L$6,0))))*IF(C29="8_1",9,25))</f>
        <v>1.6655156379813106E-6</v>
      </c>
    </row>
    <row r="30" spans="1:6" ht="15.75" customHeight="1" x14ac:dyDescent="0.2">
      <c r="A30" s="1">
        <v>1</v>
      </c>
      <c r="B30" s="1">
        <v>1</v>
      </c>
      <c r="C30" s="1" t="s">
        <v>7</v>
      </c>
      <c r="D30" s="1" t="s">
        <v>9</v>
      </c>
      <c r="E30" s="1">
        <v>0.45170474052429199</v>
      </c>
      <c r="F30" s="1">
        <f>Tabla1[[#This Row],[tiempo]]/(IF(Tabla1[[#This Row],[tamanho]]=$I$3,$L$3,IF(Tabla1[[#This Row],[tamanho]]=$I$4,$L$4,IF(Tabla1[[#This Row],[tamanho]]=$I$5,$L$5,IF(Tabla1[[#This Row],[tamanho]]=$I$6,$L$6,0))))*IF(C30="8_1",9,25))</f>
        <v>6.7016021738702868E-7</v>
      </c>
    </row>
    <row r="31" spans="1:6" ht="15.75" customHeight="1" x14ac:dyDescent="0.2">
      <c r="A31" s="1">
        <v>1</v>
      </c>
      <c r="B31" s="1">
        <v>1</v>
      </c>
      <c r="C31" s="1" t="s">
        <v>8</v>
      </c>
      <c r="D31" s="1" t="s">
        <v>9</v>
      </c>
      <c r="E31" s="1">
        <v>0.460133075714111</v>
      </c>
      <c r="F31" s="1">
        <f>Tabla1[[#This Row],[tiempo]]/(IF(Tabla1[[#This Row],[tamanho]]=$I$3,$L$3,IF(Tabla1[[#This Row],[tamanho]]=$I$4,$L$4,IF(Tabla1[[#This Row],[tamanho]]=$I$5,$L$5,IF(Tabla1[[#This Row],[tamanho]]=$I$6,$L$6,0))))*IF(C31="8_1",9,25))</f>
        <v>6.8266470192368382E-7</v>
      </c>
    </row>
    <row r="32" spans="1:6" ht="15.75" customHeight="1" x14ac:dyDescent="0.2">
      <c r="A32" s="1">
        <v>1</v>
      </c>
      <c r="B32" s="1">
        <v>2</v>
      </c>
      <c r="C32" s="1" t="s">
        <v>5</v>
      </c>
      <c r="D32" s="1" t="s">
        <v>6</v>
      </c>
      <c r="E32" s="1">
        <v>1.65201163291931</v>
      </c>
      <c r="F32" s="1">
        <f>Tabla1[[#This Row],[tiempo]]/(IF(Tabla1[[#This Row],[tamanho]]=$I$3,$L$3,IF(Tabla1[[#This Row],[tamanho]]=$I$4,$L$4,IF(Tabla1[[#This Row],[tamanho]]=$I$5,$L$5,IF(Tabla1[[#This Row],[tamanho]]=$I$6,$L$6,0))))*IF(C32="8_1",9,25))</f>
        <v>1.0001898851480779E-6</v>
      </c>
    </row>
    <row r="33" spans="1:6" ht="15.75" customHeight="1" x14ac:dyDescent="0.2">
      <c r="A33" s="1">
        <v>1</v>
      </c>
      <c r="B33" s="1">
        <v>2</v>
      </c>
      <c r="C33" s="1" t="s">
        <v>7</v>
      </c>
      <c r="D33" s="1" t="s">
        <v>6</v>
      </c>
      <c r="E33" s="1">
        <v>1.85305571556091</v>
      </c>
      <c r="F33" s="1">
        <f>Tabla1[[#This Row],[tiempo]]/(IF(Tabla1[[#This Row],[tamanho]]=$I$3,$L$3,IF(Tabla1[[#This Row],[tamanho]]=$I$4,$L$4,IF(Tabla1[[#This Row],[tamanho]]=$I$5,$L$5,IF(Tabla1[[#This Row],[tamanho]]=$I$6,$L$6,0))))*IF(C33="8_1",9,25))</f>
        <v>4.0388742833249636E-7</v>
      </c>
    </row>
    <row r="34" spans="1:6" ht="15.75" customHeight="1" x14ac:dyDescent="0.2">
      <c r="A34" s="1">
        <v>1</v>
      </c>
      <c r="B34" s="1">
        <v>2</v>
      </c>
      <c r="C34" s="1" t="s">
        <v>8</v>
      </c>
      <c r="D34" s="1" t="s">
        <v>6</v>
      </c>
      <c r="E34" s="1">
        <v>1.8730344772338801</v>
      </c>
      <c r="F34" s="1">
        <f>Tabla1[[#This Row],[tiempo]]/(IF(Tabla1[[#This Row],[tamanho]]=$I$3,$L$3,IF(Tabla1[[#This Row],[tamanho]]=$I$4,$L$4,IF(Tabla1[[#This Row],[tamanho]]=$I$5,$L$5,IF(Tabla1[[#This Row],[tamanho]]=$I$6,$L$6,0))))*IF(C34="8_1",9,25))</f>
        <v>4.0824194968099303E-7</v>
      </c>
    </row>
    <row r="35" spans="1:6" ht="15.75" customHeight="1" x14ac:dyDescent="0.2">
      <c r="A35" s="1">
        <v>1</v>
      </c>
      <c r="B35" s="1">
        <v>2</v>
      </c>
      <c r="C35" s="1" t="s">
        <v>5</v>
      </c>
      <c r="D35" s="1" t="s">
        <v>9</v>
      </c>
      <c r="E35" s="1">
        <v>1.6682260036468499</v>
      </c>
      <c r="F35" s="1">
        <f>Tabla1[[#This Row],[tiempo]]/(IF(Tabla1[[#This Row],[tamanho]]=$I$3,$L$3,IF(Tabla1[[#This Row],[tamanho]]=$I$4,$L$4,IF(Tabla1[[#This Row],[tamanho]]=$I$5,$L$5,IF(Tabla1[[#This Row],[tamanho]]=$I$6,$L$6,0))))*IF(C35="8_1",9,25))</f>
        <v>1.0100066741298046E-6</v>
      </c>
    </row>
    <row r="36" spans="1:6" ht="15.75" customHeight="1" x14ac:dyDescent="0.2">
      <c r="A36" s="1">
        <v>1</v>
      </c>
      <c r="B36" s="1">
        <v>2</v>
      </c>
      <c r="C36" s="1" t="s">
        <v>7</v>
      </c>
      <c r="D36" s="1" t="s">
        <v>9</v>
      </c>
      <c r="E36" s="1">
        <v>1.86874103546142</v>
      </c>
      <c r="F36" s="1">
        <f>Tabla1[[#This Row],[tiempo]]/(IF(Tabla1[[#This Row],[tamanho]]=$I$3,$L$3,IF(Tabla1[[#This Row],[tamanho]]=$I$4,$L$4,IF(Tabla1[[#This Row],[tamanho]]=$I$5,$L$5,IF(Tabla1[[#This Row],[tamanho]]=$I$6,$L$6,0))))*IF(C36="8_1",9,25))</f>
        <v>4.0730616175966262E-7</v>
      </c>
    </row>
    <row r="37" spans="1:6" ht="15.75" customHeight="1" x14ac:dyDescent="0.2">
      <c r="A37" s="1">
        <v>1</v>
      </c>
      <c r="B37" s="1">
        <v>2</v>
      </c>
      <c r="C37" s="1" t="s">
        <v>8</v>
      </c>
      <c r="D37" s="1" t="s">
        <v>9</v>
      </c>
      <c r="E37" s="1">
        <v>1.89400482177734</v>
      </c>
      <c r="F37" s="1">
        <f>Tabla1[[#This Row],[tiempo]]/(IF(Tabla1[[#This Row],[tamanho]]=$I$3,$L$3,IF(Tabla1[[#This Row],[tamanho]]=$I$4,$L$4,IF(Tabla1[[#This Row],[tamanho]]=$I$5,$L$5,IF(Tabla1[[#This Row],[tamanho]]=$I$6,$L$6,0))))*IF(C37="8_1",9,25))</f>
        <v>4.1281259397289478E-7</v>
      </c>
    </row>
    <row r="38" spans="1:6" ht="12.75" x14ac:dyDescent="0.2">
      <c r="A38" s="1">
        <v>1</v>
      </c>
      <c r="B38" s="1">
        <v>3</v>
      </c>
      <c r="C38" s="1" t="s">
        <v>5</v>
      </c>
      <c r="D38" s="1" t="s">
        <v>6</v>
      </c>
      <c r="E38" s="1">
        <v>3.84881591796875</v>
      </c>
      <c r="F38" s="1">
        <f>Tabla1[[#This Row],[tiempo]]/(IF(Tabla1[[#This Row],[tamanho]]=$I$3,$L$3,IF(Tabla1[[#This Row],[tamanho]]=$I$4,$L$4,IF(Tabla1[[#This Row],[tamanho]]=$I$5,$L$5,IF(Tabla1[[#This Row],[tamanho]]=$I$6,$L$6,0))))*IF(C38="8_1",9,25))</f>
        <v>1.0348290589726848E-6</v>
      </c>
    </row>
    <row r="39" spans="1:6" ht="12.75" x14ac:dyDescent="0.2">
      <c r="A39" s="1">
        <v>1</v>
      </c>
      <c r="B39" s="1">
        <v>3</v>
      </c>
      <c r="C39" s="1" t="s">
        <v>7</v>
      </c>
      <c r="D39" s="1" t="s">
        <v>6</v>
      </c>
      <c r="E39" s="1">
        <v>4.3240709304809499</v>
      </c>
      <c r="F39" s="1">
        <f>Tabla1[[#This Row],[tiempo]]/(IF(Tabla1[[#This Row],[tamanho]]=$I$3,$L$3,IF(Tabla1[[#This Row],[tamanho]]=$I$4,$L$4,IF(Tabla1[[#This Row],[tamanho]]=$I$5,$L$5,IF(Tabla1[[#This Row],[tamanho]]=$I$6,$L$6,0))))*IF(C39="8_1",9,25))</f>
        <v>4.1853982238299058E-7</v>
      </c>
    </row>
    <row r="40" spans="1:6" ht="12.75" x14ac:dyDescent="0.2">
      <c r="A40" s="1">
        <v>1</v>
      </c>
      <c r="B40" s="1">
        <v>3</v>
      </c>
      <c r="C40" s="1" t="s">
        <v>8</v>
      </c>
      <c r="D40" s="1" t="s">
        <v>6</v>
      </c>
      <c r="E40" s="1">
        <v>4.3302426338195801</v>
      </c>
      <c r="F40" s="1">
        <f>Tabla1[[#This Row],[tiempo]]/(IF(Tabla1[[#This Row],[tamanho]]=$I$3,$L$3,IF(Tabla1[[#This Row],[tamanho]]=$I$4,$L$4,IF(Tabla1[[#This Row],[tamanho]]=$I$5,$L$5,IF(Tabla1[[#This Row],[tamanho]]=$I$6,$L$6,0))))*IF(C40="8_1",9,25))</f>
        <v>4.1913720009965617E-7</v>
      </c>
    </row>
    <row r="41" spans="1:6" ht="12.75" x14ac:dyDescent="0.2">
      <c r="A41" s="1">
        <v>1</v>
      </c>
      <c r="B41" s="1">
        <v>3</v>
      </c>
      <c r="C41" s="1" t="s">
        <v>5</v>
      </c>
      <c r="D41" s="1" t="s">
        <v>9</v>
      </c>
      <c r="E41" s="1">
        <v>3.8584389686584402</v>
      </c>
      <c r="F41" s="1">
        <f>Tabla1[[#This Row],[tiempo]]/(IF(Tabla1[[#This Row],[tamanho]]=$I$3,$L$3,IF(Tabla1[[#This Row],[tamanho]]=$I$4,$L$4,IF(Tabla1[[#This Row],[tamanho]]=$I$5,$L$5,IF(Tabla1[[#This Row],[tamanho]]=$I$6,$L$6,0))))*IF(C41="8_1",9,25))</f>
        <v>1.0374164034188473E-6</v>
      </c>
    </row>
    <row r="42" spans="1:6" ht="12.75" x14ac:dyDescent="0.2">
      <c r="A42" s="1">
        <v>1</v>
      </c>
      <c r="B42" s="1">
        <v>3</v>
      </c>
      <c r="C42" s="1" t="s">
        <v>7</v>
      </c>
      <c r="D42" s="1" t="s">
        <v>9</v>
      </c>
      <c r="E42" s="1">
        <v>4.2941031455993599</v>
      </c>
      <c r="F42" s="1">
        <f>Tabla1[[#This Row],[tiempo]]/(IF(Tabla1[[#This Row],[tamanho]]=$I$3,$L$3,IF(Tabla1[[#This Row],[tamanho]]=$I$4,$L$4,IF(Tabla1[[#This Row],[tamanho]]=$I$5,$L$5,IF(Tabla1[[#This Row],[tamanho]]=$I$6,$L$6,0))))*IF(C42="8_1",9,25))</f>
        <v>4.1563915040900947E-7</v>
      </c>
    </row>
    <row r="43" spans="1:6" ht="12.75" x14ac:dyDescent="0.2">
      <c r="A43" s="1">
        <v>1</v>
      </c>
      <c r="B43" s="1">
        <v>3</v>
      </c>
      <c r="C43" s="1" t="s">
        <v>8</v>
      </c>
      <c r="D43" s="1" t="s">
        <v>9</v>
      </c>
      <c r="E43" s="1">
        <v>4.2955944538116402</v>
      </c>
      <c r="F43" s="1">
        <f>Tabla1[[#This Row],[tiempo]]/(IF(Tabla1[[#This Row],[tamanho]]=$I$3,$L$3,IF(Tabla1[[#This Row],[tamanho]]=$I$4,$L$4,IF(Tabla1[[#This Row],[tamanho]]=$I$5,$L$5,IF(Tabla1[[#This Row],[tamanho]]=$I$6,$L$6,0))))*IF(C43="8_1",9,25))</f>
        <v>4.1578349861335696E-7</v>
      </c>
    </row>
    <row r="44" spans="1:6" ht="12.75" x14ac:dyDescent="0.2">
      <c r="A44" s="1">
        <v>1</v>
      </c>
      <c r="B44" s="1">
        <v>4</v>
      </c>
      <c r="C44" s="1" t="s">
        <v>5</v>
      </c>
      <c r="D44" s="1" t="s">
        <v>6</v>
      </c>
      <c r="E44" s="1">
        <v>7.0084078311920104</v>
      </c>
      <c r="F44" s="1">
        <f>Tabla1[[#This Row],[tiempo]]/(IF(Tabla1[[#This Row],[tamanho]]=$I$3,$L$3,IF(Tabla1[[#This Row],[tamanho]]=$I$4,$L$4,IF(Tabla1[[#This Row],[tamanho]]=$I$5,$L$5,IF(Tabla1[[#This Row],[tamanho]]=$I$6,$L$6,0))))*IF(C44="8_1",9,25))</f>
        <v>1.0583158552541329E-6</v>
      </c>
    </row>
    <row r="45" spans="1:6" ht="12.75" x14ac:dyDescent="0.2">
      <c r="A45" s="1">
        <v>1</v>
      </c>
      <c r="B45" s="1">
        <v>4</v>
      </c>
      <c r="C45" s="1" t="s">
        <v>7</v>
      </c>
      <c r="D45" s="1" t="s">
        <v>6</v>
      </c>
      <c r="E45" s="1">
        <v>7.7129037380218497</v>
      </c>
      <c r="F45" s="1">
        <f>Tabla1[[#This Row],[tiempo]]/(IF(Tabla1[[#This Row],[tamanho]]=$I$3,$L$3,IF(Tabla1[[#This Row],[tamanho]]=$I$4,$L$4,IF(Tabla1[[#This Row],[tamanho]]=$I$5,$L$5,IF(Tabla1[[#This Row],[tamanho]]=$I$6,$L$6,0))))*IF(C45="8_1",9,25))</f>
        <v>4.1929177989336002E-7</v>
      </c>
    </row>
    <row r="46" spans="1:6" ht="12.75" x14ac:dyDescent="0.2">
      <c r="A46" s="1">
        <v>1</v>
      </c>
      <c r="B46" s="1">
        <v>4</v>
      </c>
      <c r="C46" s="1" t="s">
        <v>8</v>
      </c>
      <c r="D46" s="1" t="s">
        <v>6</v>
      </c>
      <c r="E46" s="1">
        <v>7.5944976806640598</v>
      </c>
      <c r="F46" s="1">
        <f>Tabla1[[#This Row],[tiempo]]/(IF(Tabla1[[#This Row],[tamanho]]=$I$3,$L$3,IF(Tabla1[[#This Row],[tamanho]]=$I$4,$L$4,IF(Tabla1[[#This Row],[tamanho]]=$I$5,$L$5,IF(Tabla1[[#This Row],[tamanho]]=$I$6,$L$6,0))))*IF(C46="8_1",9,25))</f>
        <v>4.1285494517766631E-7</v>
      </c>
    </row>
    <row r="47" spans="1:6" ht="12.75" x14ac:dyDescent="0.2">
      <c r="A47" s="1">
        <v>1</v>
      </c>
      <c r="B47" s="1">
        <v>4</v>
      </c>
      <c r="C47" s="1" t="s">
        <v>5</v>
      </c>
      <c r="D47" s="1" t="s">
        <v>9</v>
      </c>
      <c r="E47" s="1">
        <v>6.8236498832702601</v>
      </c>
      <c r="F47" s="1">
        <f>Tabla1[[#This Row],[tiempo]]/(IF(Tabla1[[#This Row],[tamanho]]=$I$3,$L$3,IF(Tabla1[[#This Row],[tamanho]]=$I$4,$L$4,IF(Tabla1[[#This Row],[tamanho]]=$I$5,$L$5,IF(Tabla1[[#This Row],[tamanho]]=$I$6,$L$6,0))))*IF(C47="8_1",9,25))</f>
        <v>1.0304161852606774E-6</v>
      </c>
    </row>
    <row r="48" spans="1:6" ht="12.75" x14ac:dyDescent="0.2">
      <c r="A48" s="1">
        <v>1</v>
      </c>
      <c r="B48" s="1">
        <v>4</v>
      </c>
      <c r="C48" s="1" t="s">
        <v>7</v>
      </c>
      <c r="D48" s="1" t="s">
        <v>9</v>
      </c>
      <c r="E48" s="1">
        <v>7.6041848659515301</v>
      </c>
      <c r="F48" s="1">
        <f>Tabla1[[#This Row],[tiempo]]/(IF(Tabla1[[#This Row],[tamanho]]=$I$3,$L$3,IF(Tabla1[[#This Row],[tamanho]]=$I$4,$L$4,IF(Tabla1[[#This Row],[tamanho]]=$I$5,$L$5,IF(Tabla1[[#This Row],[tamanho]]=$I$6,$L$6,0))))*IF(C48="8_1",9,25))</f>
        <v>4.1338156359523024E-7</v>
      </c>
    </row>
    <row r="49" spans="1:6" ht="12.75" x14ac:dyDescent="0.2">
      <c r="A49" s="1">
        <v>1</v>
      </c>
      <c r="B49" s="1">
        <v>4</v>
      </c>
      <c r="C49" s="1" t="s">
        <v>8</v>
      </c>
      <c r="D49" s="1" t="s">
        <v>9</v>
      </c>
      <c r="E49" s="1">
        <v>7.6563432216644198</v>
      </c>
      <c r="F49" s="1">
        <f>Tabla1[[#This Row],[tiempo]]/(IF(Tabla1[[#This Row],[tamanho]]=$I$3,$L$3,IF(Tabla1[[#This Row],[tamanho]]=$I$4,$L$4,IF(Tabla1[[#This Row],[tamanho]]=$I$5,$L$5,IF(Tabla1[[#This Row],[tamanho]]=$I$6,$L$6,0))))*IF(C49="8_1",9,25))</f>
        <v>4.162170157862591E-7</v>
      </c>
    </row>
    <row r="50" spans="1:6" ht="12.75" x14ac:dyDescent="0.2">
      <c r="A50" s="1">
        <v>2</v>
      </c>
      <c r="B50" s="1">
        <v>1</v>
      </c>
      <c r="C50" s="1" t="s">
        <v>5</v>
      </c>
      <c r="D50" s="1" t="s">
        <v>6</v>
      </c>
      <c r="E50" s="1">
        <v>0.40372967720031699</v>
      </c>
      <c r="F50" s="1">
        <f>Tabla1[[#This Row],[tiempo]]/(IF(Tabla1[[#This Row],[tamanho]]=$I$3,$L$3,IF(Tabla1[[#This Row],[tamanho]]=$I$4,$L$4,IF(Tabla1[[#This Row],[tamanho]]=$I$5,$L$5,IF(Tabla1[[#This Row],[tamanho]]=$I$6,$L$6,0))))*IF(C50="8_1",9,25))</f>
        <v>1.6638423286323743E-6</v>
      </c>
    </row>
    <row r="51" spans="1:6" ht="12.75" x14ac:dyDescent="0.2">
      <c r="A51" s="1">
        <v>2</v>
      </c>
      <c r="B51" s="1">
        <v>1</v>
      </c>
      <c r="C51" s="1" t="s">
        <v>7</v>
      </c>
      <c r="D51" s="1" t="s">
        <v>6</v>
      </c>
      <c r="E51" s="1">
        <v>0.45484685897827098</v>
      </c>
      <c r="F51" s="1">
        <f>Tabla1[[#This Row],[tiempo]]/(IF(Tabla1[[#This Row],[tamanho]]=$I$3,$L$3,IF(Tabla1[[#This Row],[tamanho]]=$I$4,$L$4,IF(Tabla1[[#This Row],[tamanho]]=$I$5,$L$5,IF(Tabla1[[#This Row],[tamanho]]=$I$6,$L$6,0))))*IF(C51="8_1",9,25))</f>
        <v>6.7482194129041356E-7</v>
      </c>
    </row>
    <row r="52" spans="1:6" ht="12.75" x14ac:dyDescent="0.2">
      <c r="A52" s="1">
        <v>2</v>
      </c>
      <c r="B52" s="1">
        <v>1</v>
      </c>
      <c r="C52" s="1" t="s">
        <v>8</v>
      </c>
      <c r="D52" s="1" t="s">
        <v>6</v>
      </c>
      <c r="E52" s="1">
        <v>0.45639848709106401</v>
      </c>
      <c r="F52" s="1">
        <f>Tabla1[[#This Row],[tiempo]]/(IF(Tabla1[[#This Row],[tamanho]]=$I$3,$L$3,IF(Tabla1[[#This Row],[tamanho]]=$I$4,$L$4,IF(Tabla1[[#This Row],[tamanho]]=$I$5,$L$5,IF(Tabla1[[#This Row],[tamanho]]=$I$6,$L$6,0))))*IF(C52="8_1",9,25))</f>
        <v>6.771239747651259E-7</v>
      </c>
    </row>
    <row r="53" spans="1:6" ht="12.75" x14ac:dyDescent="0.2">
      <c r="A53" s="1">
        <v>2</v>
      </c>
      <c r="B53" s="1">
        <v>1</v>
      </c>
      <c r="C53" s="1" t="s">
        <v>5</v>
      </c>
      <c r="D53" s="1" t="s">
        <v>9</v>
      </c>
      <c r="E53" s="1">
        <v>0.40453815460205</v>
      </c>
      <c r="F53" s="1">
        <f>Tabla1[[#This Row],[tiempo]]/(IF(Tabla1[[#This Row],[tamanho]]=$I$3,$L$3,IF(Tabla1[[#This Row],[tamanho]]=$I$4,$L$4,IF(Tabla1[[#This Row],[tamanho]]=$I$5,$L$5,IF(Tabla1[[#This Row],[tamanho]]=$I$6,$L$6,0))))*IF(C53="8_1",9,25))</f>
        <v>1.6671742088450807E-6</v>
      </c>
    </row>
    <row r="54" spans="1:6" ht="12.75" x14ac:dyDescent="0.2">
      <c r="A54" s="1">
        <v>2</v>
      </c>
      <c r="B54" s="1">
        <v>1</v>
      </c>
      <c r="C54" s="1" t="s">
        <v>7</v>
      </c>
      <c r="D54" s="1" t="s">
        <v>9</v>
      </c>
      <c r="E54" s="1">
        <v>0.45344090461730902</v>
      </c>
      <c r="F54" s="1">
        <f>Tabla1[[#This Row],[tiempo]]/(IF(Tabla1[[#This Row],[tamanho]]=$I$3,$L$3,IF(Tabla1[[#This Row],[tamanho]]=$I$4,$L$4,IF(Tabla1[[#This Row],[tamanho]]=$I$5,$L$5,IF(Tabla1[[#This Row],[tamanho]]=$I$6,$L$6,0))))*IF(C54="8_1",9,25))</f>
        <v>6.7273603296214386E-7</v>
      </c>
    </row>
    <row r="55" spans="1:6" ht="12.75" x14ac:dyDescent="0.2">
      <c r="A55" s="1">
        <v>2</v>
      </c>
      <c r="B55" s="1">
        <v>1</v>
      </c>
      <c r="C55" s="1" t="s">
        <v>8</v>
      </c>
      <c r="D55" s="1" t="s">
        <v>9</v>
      </c>
      <c r="E55" s="1">
        <v>0.45473241806030201</v>
      </c>
      <c r="F55" s="1">
        <f>Tabla1[[#This Row],[tiempo]]/(IF(Tabla1[[#This Row],[tamanho]]=$I$3,$L$3,IF(Tabla1[[#This Row],[tamanho]]=$I$4,$L$4,IF(Tabla1[[#This Row],[tamanho]]=$I$5,$L$5,IF(Tabla1[[#This Row],[tamanho]]=$I$6,$L$6,0))))*IF(C55="8_1",9,25))</f>
        <v>6.7465215394132566E-7</v>
      </c>
    </row>
    <row r="56" spans="1:6" ht="12.75" x14ac:dyDescent="0.2">
      <c r="A56" s="1">
        <v>2</v>
      </c>
      <c r="B56" s="1">
        <v>2</v>
      </c>
      <c r="C56" s="1" t="s">
        <v>5</v>
      </c>
      <c r="D56" s="1" t="s">
        <v>6</v>
      </c>
      <c r="E56" s="1">
        <v>1.6725609302520701</v>
      </c>
      <c r="F56" s="1">
        <f>Tabla1[[#This Row],[tiempo]]/(IF(Tabla1[[#This Row],[tamanho]]=$I$3,$L$3,IF(Tabla1[[#This Row],[tamanho]]=$I$4,$L$4,IF(Tabla1[[#This Row],[tamanho]]=$I$5,$L$5,IF(Tabla1[[#This Row],[tamanho]]=$I$6,$L$6,0))))*IF(C56="8_1",9,25))</f>
        <v>1.0126312014981372E-6</v>
      </c>
    </row>
    <row r="57" spans="1:6" ht="12.75" x14ac:dyDescent="0.2">
      <c r="A57" s="1">
        <v>2</v>
      </c>
      <c r="B57" s="1">
        <v>2</v>
      </c>
      <c r="C57" s="1" t="s">
        <v>7</v>
      </c>
      <c r="D57" s="1" t="s">
        <v>6</v>
      </c>
      <c r="E57" s="1">
        <v>1.86059522628784</v>
      </c>
      <c r="F57" s="1">
        <f>Tabla1[[#This Row],[tiempo]]/(IF(Tabla1[[#This Row],[tamanho]]=$I$3,$L$3,IF(Tabla1[[#This Row],[tamanho]]=$I$4,$L$4,IF(Tabla1[[#This Row],[tamanho]]=$I$5,$L$5,IF(Tabla1[[#This Row],[tamanho]]=$I$6,$L$6,0))))*IF(C57="8_1",9,25))</f>
        <v>4.0553072139314958E-7</v>
      </c>
    </row>
    <row r="58" spans="1:6" ht="12.75" x14ac:dyDescent="0.2">
      <c r="A58" s="1">
        <v>2</v>
      </c>
      <c r="B58" s="1">
        <v>2</v>
      </c>
      <c r="C58" s="1" t="s">
        <v>8</v>
      </c>
      <c r="D58" s="1" t="s">
        <v>6</v>
      </c>
      <c r="E58" s="1">
        <v>1.88622546195983</v>
      </c>
      <c r="F58" s="1">
        <f>Tabla1[[#This Row],[tiempo]]/(IF(Tabla1[[#This Row],[tamanho]]=$I$3,$L$3,IF(Tabla1[[#This Row],[tamanho]]=$I$4,$L$4,IF(Tabla1[[#This Row],[tamanho]]=$I$5,$L$5,IF(Tabla1[[#This Row],[tamanho]]=$I$6,$L$6,0))))*IF(C58="8_1",9,25))</f>
        <v>4.1111702399926546E-7</v>
      </c>
    </row>
    <row r="59" spans="1:6" ht="12.75" x14ac:dyDescent="0.2">
      <c r="A59" s="1">
        <v>2</v>
      </c>
      <c r="B59" s="1">
        <v>2</v>
      </c>
      <c r="C59" s="1" t="s">
        <v>5</v>
      </c>
      <c r="D59" s="1" t="s">
        <v>9</v>
      </c>
      <c r="E59" s="1">
        <v>1.67838931083679</v>
      </c>
      <c r="F59" s="1">
        <f>Tabla1[[#This Row],[tiempo]]/(IF(Tabla1[[#This Row],[tamanho]]=$I$3,$L$3,IF(Tabla1[[#This Row],[tamanho]]=$I$4,$L$4,IF(Tabla1[[#This Row],[tamanho]]=$I$5,$L$5,IF(Tabla1[[#This Row],[tamanho]]=$I$6,$L$6,0))))*IF(C59="8_1",9,25))</f>
        <v>1.0161599219934819E-6</v>
      </c>
    </row>
    <row r="60" spans="1:6" ht="12.75" x14ac:dyDescent="0.2">
      <c r="A60" s="1">
        <v>2</v>
      </c>
      <c r="B60" s="1">
        <v>2</v>
      </c>
      <c r="C60" s="1" t="s">
        <v>7</v>
      </c>
      <c r="D60" s="1" t="s">
        <v>9</v>
      </c>
      <c r="E60" s="1">
        <v>1.87393999099731</v>
      </c>
      <c r="F60" s="1">
        <f>Tabla1[[#This Row],[tiempo]]/(IF(Tabla1[[#This Row],[tamanho]]=$I$3,$L$3,IF(Tabla1[[#This Row],[tamanho]]=$I$4,$L$4,IF(Tabla1[[#This Row],[tamanho]]=$I$5,$L$5,IF(Tabla1[[#This Row],[tamanho]]=$I$6,$L$6,0))))*IF(C60="8_1",9,25))</f>
        <v>4.0843931321526794E-7</v>
      </c>
    </row>
    <row r="61" spans="1:6" ht="12.75" x14ac:dyDescent="0.2">
      <c r="A61" s="1">
        <v>2</v>
      </c>
      <c r="B61" s="1">
        <v>2</v>
      </c>
      <c r="C61" s="1" t="s">
        <v>8</v>
      </c>
      <c r="D61" s="1" t="s">
        <v>9</v>
      </c>
      <c r="E61" s="1">
        <v>1.9155139923095701</v>
      </c>
      <c r="F61" s="1">
        <f>Tabla1[[#This Row],[tiempo]]/(IF(Tabla1[[#This Row],[tamanho]]=$I$3,$L$3,IF(Tabla1[[#This Row],[tamanho]]=$I$4,$L$4,IF(Tabla1[[#This Row],[tamanho]]=$I$5,$L$5,IF(Tabla1[[#This Row],[tamanho]]=$I$6,$L$6,0))))*IF(C61="8_1",9,25))</f>
        <v>4.1750067944106324E-7</v>
      </c>
    </row>
    <row r="62" spans="1:6" ht="12.75" x14ac:dyDescent="0.2">
      <c r="A62" s="1">
        <v>2</v>
      </c>
      <c r="B62" s="1">
        <v>3</v>
      </c>
      <c r="C62" s="1" t="s">
        <v>5</v>
      </c>
      <c r="D62" s="1" t="s">
        <v>6</v>
      </c>
      <c r="E62" s="1">
        <v>3.9238831996917698</v>
      </c>
      <c r="F62" s="1">
        <f>Tabla1[[#This Row],[tiempo]]/(IF(Tabla1[[#This Row],[tamanho]]=$I$3,$L$3,IF(Tabla1[[#This Row],[tamanho]]=$I$4,$L$4,IF(Tabla1[[#This Row],[tamanho]]=$I$5,$L$5,IF(Tabla1[[#This Row],[tamanho]]=$I$6,$L$6,0))))*IF(C62="8_1",9,25))</f>
        <v>1.0550123585018727E-6</v>
      </c>
    </row>
    <row r="63" spans="1:6" ht="12.75" x14ac:dyDescent="0.2">
      <c r="A63" s="1">
        <v>2</v>
      </c>
      <c r="B63" s="1">
        <v>3</v>
      </c>
      <c r="C63" s="1" t="s">
        <v>7</v>
      </c>
      <c r="D63" s="1" t="s">
        <v>6</v>
      </c>
      <c r="E63" s="1">
        <v>4.27583909034729</v>
      </c>
      <c r="F63" s="1">
        <f>Tabla1[[#This Row],[tiempo]]/(IF(Tabla1[[#This Row],[tamanho]]=$I$3,$L$3,IF(Tabla1[[#This Row],[tamanho]]=$I$4,$L$4,IF(Tabla1[[#This Row],[tamanho]]=$I$5,$L$5,IF(Tabla1[[#This Row],[tamanho]]=$I$6,$L$6,0))))*IF(C63="8_1",9,25))</f>
        <v>4.1387131760420761E-7</v>
      </c>
    </row>
    <row r="64" spans="1:6" ht="12.75" x14ac:dyDescent="0.2">
      <c r="A64" s="1">
        <v>2</v>
      </c>
      <c r="B64" s="1">
        <v>3</v>
      </c>
      <c r="C64" s="1" t="s">
        <v>8</v>
      </c>
      <c r="D64" s="1" t="s">
        <v>6</v>
      </c>
      <c r="E64" s="1">
        <v>4.42160964012146</v>
      </c>
      <c r="F64" s="1">
        <f>Tabla1[[#This Row],[tiempo]]/(IF(Tabla1[[#This Row],[tamanho]]=$I$3,$L$3,IF(Tabla1[[#This Row],[tamanho]]=$I$4,$L$4,IF(Tabla1[[#This Row],[tamanho]]=$I$5,$L$5,IF(Tabla1[[#This Row],[tamanho]]=$I$6,$L$6,0))))*IF(C64="8_1",9,25))</f>
        <v>4.2798088726484358E-7</v>
      </c>
    </row>
    <row r="65" spans="1:6" ht="12.75" x14ac:dyDescent="0.2">
      <c r="A65" s="1">
        <v>2</v>
      </c>
      <c r="B65" s="1">
        <v>3</v>
      </c>
      <c r="C65" s="1" t="s">
        <v>5</v>
      </c>
      <c r="D65" s="1" t="s">
        <v>9</v>
      </c>
      <c r="E65" s="1">
        <v>3.8937296867370601</v>
      </c>
      <c r="F65" s="1">
        <f>Tabla1[[#This Row],[tiempo]]/(IF(Tabla1[[#This Row],[tamanho]]=$I$3,$L$3,IF(Tabla1[[#This Row],[tamanho]]=$I$4,$L$4,IF(Tabla1[[#This Row],[tamanho]]=$I$5,$L$5,IF(Tabla1[[#This Row],[tamanho]]=$I$6,$L$6,0))))*IF(C65="8_1",9,25))</f>
        <v>1.046904999745128E-6</v>
      </c>
    </row>
    <row r="66" spans="1:6" ht="12.75" x14ac:dyDescent="0.2">
      <c r="A66" s="1">
        <v>2</v>
      </c>
      <c r="B66" s="1">
        <v>3</v>
      </c>
      <c r="C66" s="1" t="s">
        <v>7</v>
      </c>
      <c r="D66" s="1" t="s">
        <v>9</v>
      </c>
      <c r="E66" s="1">
        <v>4.2711930274963299</v>
      </c>
      <c r="F66" s="1">
        <f>Tabla1[[#This Row],[tiempo]]/(IF(Tabla1[[#This Row],[tamanho]]=$I$3,$L$3,IF(Tabla1[[#This Row],[tamanho]]=$I$4,$L$4,IF(Tabla1[[#This Row],[tamanho]]=$I$5,$L$5,IF(Tabla1[[#This Row],[tamanho]]=$I$6,$L$6,0))))*IF(C66="8_1",9,25))</f>
        <v>4.1342161121601826E-7</v>
      </c>
    </row>
    <row r="67" spans="1:6" ht="12.75" x14ac:dyDescent="0.2">
      <c r="A67" s="1">
        <v>2</v>
      </c>
      <c r="B67" s="1">
        <v>3</v>
      </c>
      <c r="C67" s="1" t="s">
        <v>8</v>
      </c>
      <c r="D67" s="1" t="s">
        <v>9</v>
      </c>
      <c r="E67" s="1">
        <v>4.3465077877044598</v>
      </c>
      <c r="F67" s="1">
        <f>Tabla1[[#This Row],[tiempo]]/(IF(Tabla1[[#This Row],[tamanho]]=$I$3,$L$3,IF(Tabla1[[#This Row],[tamanho]]=$I$4,$L$4,IF(Tabla1[[#This Row],[tamanho]]=$I$5,$L$5,IF(Tabla1[[#This Row],[tamanho]]=$I$6,$L$6,0))))*IF(C67="8_1",9,25))</f>
        <v>4.2071155323295511E-7</v>
      </c>
    </row>
    <row r="68" spans="1:6" ht="12.75" x14ac:dyDescent="0.2">
      <c r="A68" s="1">
        <v>2</v>
      </c>
      <c r="B68" s="1">
        <v>4</v>
      </c>
      <c r="C68" s="1" t="s">
        <v>5</v>
      </c>
      <c r="D68" s="1" t="s">
        <v>6</v>
      </c>
      <c r="E68" s="1">
        <v>6.8262515068054199</v>
      </c>
      <c r="F68" s="1">
        <f>Tabla1[[#This Row],[tiempo]]/(IF(Tabla1[[#This Row],[tamanho]]=$I$3,$L$3,IF(Tabla1[[#This Row],[tamanho]]=$I$4,$L$4,IF(Tabla1[[#This Row],[tamanho]]=$I$5,$L$5,IF(Tabla1[[#This Row],[tamanho]]=$I$6,$L$6,0))))*IF(C68="8_1",9,25))</f>
        <v>1.0308090475916062E-6</v>
      </c>
    </row>
    <row r="69" spans="1:6" ht="12.75" x14ac:dyDescent="0.2">
      <c r="A69" s="1">
        <v>2</v>
      </c>
      <c r="B69" s="1">
        <v>4</v>
      </c>
      <c r="C69" s="1" t="s">
        <v>7</v>
      </c>
      <c r="D69" s="1" t="s">
        <v>6</v>
      </c>
      <c r="E69" s="1">
        <v>7.6070666313171298</v>
      </c>
      <c r="F69" s="1">
        <f>Tabla1[[#This Row],[tiempo]]/(IF(Tabla1[[#This Row],[tamanho]]=$I$3,$L$3,IF(Tabla1[[#This Row],[tamanho]]=$I$4,$L$4,IF(Tabla1[[#This Row],[tamanho]]=$I$5,$L$5,IF(Tabla1[[#This Row],[tamanho]]=$I$6,$L$6,0))))*IF(C69="8_1",9,25))</f>
        <v>4.1353822321013262E-7</v>
      </c>
    </row>
    <row r="70" spans="1:6" ht="12.75" x14ac:dyDescent="0.2">
      <c r="A70" s="1">
        <v>2</v>
      </c>
      <c r="B70" s="1">
        <v>4</v>
      </c>
      <c r="C70" s="1" t="s">
        <v>8</v>
      </c>
      <c r="D70" s="1" t="s">
        <v>6</v>
      </c>
      <c r="E70" s="1">
        <v>7.6519491672515798</v>
      </c>
      <c r="F70" s="1">
        <f>Tabla1[[#This Row],[tiempo]]/(IF(Tabla1[[#This Row],[tamanho]]=$I$3,$L$3,IF(Tabla1[[#This Row],[tamanho]]=$I$4,$L$4,IF(Tabla1[[#This Row],[tamanho]]=$I$5,$L$5,IF(Tabla1[[#This Row],[tamanho]]=$I$6,$L$6,0))))*IF(C70="8_1",9,25))</f>
        <v>4.1597814454420976E-7</v>
      </c>
    </row>
    <row r="71" spans="1:6" ht="12.75" x14ac:dyDescent="0.2">
      <c r="A71" s="1">
        <v>2</v>
      </c>
      <c r="B71" s="1">
        <v>4</v>
      </c>
      <c r="C71" s="1" t="s">
        <v>5</v>
      </c>
      <c r="D71" s="1" t="s">
        <v>9</v>
      </c>
      <c r="E71" s="1">
        <v>6.9117698669433496</v>
      </c>
      <c r="F71" s="1">
        <f>Tabla1[[#This Row],[tiempo]]/(IF(Tabla1[[#This Row],[tamanho]]=$I$3,$L$3,IF(Tabla1[[#This Row],[tamanho]]=$I$4,$L$4,IF(Tabla1[[#This Row],[tamanho]]=$I$5,$L$5,IF(Tabla1[[#This Row],[tamanho]]=$I$6,$L$6,0))))*IF(C71="8_1",9,25))</f>
        <v>1.0437228846041294E-6</v>
      </c>
    </row>
    <row r="72" spans="1:6" ht="12.75" x14ac:dyDescent="0.2">
      <c r="A72" s="1">
        <v>2</v>
      </c>
      <c r="B72" s="1">
        <v>4</v>
      </c>
      <c r="C72" s="1" t="s">
        <v>7</v>
      </c>
      <c r="D72" s="1" t="s">
        <v>9</v>
      </c>
      <c r="E72" s="1">
        <v>7.6167507171630797</v>
      </c>
      <c r="F72" s="1">
        <f>Tabla1[[#This Row],[tiempo]]/(IF(Tabla1[[#This Row],[tamanho]]=$I$3,$L$3,IF(Tabla1[[#This Row],[tamanho]]=$I$4,$L$4,IF(Tabla1[[#This Row],[tamanho]]=$I$5,$L$5,IF(Tabla1[[#This Row],[tamanho]]=$I$6,$L$6,0))))*IF(C72="8_1",9,25))</f>
        <v>4.1406467313468846E-7</v>
      </c>
    </row>
    <row r="73" spans="1:6" ht="12.75" x14ac:dyDescent="0.2">
      <c r="A73" s="1">
        <v>2</v>
      </c>
      <c r="B73" s="1">
        <v>4</v>
      </c>
      <c r="C73" s="1" t="s">
        <v>8</v>
      </c>
      <c r="D73" s="1" t="s">
        <v>9</v>
      </c>
      <c r="E73" s="1">
        <v>7.7227029800415004</v>
      </c>
      <c r="F73" s="1">
        <f>Tabla1[[#This Row],[tiempo]]/(IF(Tabla1[[#This Row],[tamanho]]=$I$3,$L$3,IF(Tabla1[[#This Row],[tamanho]]=$I$4,$L$4,IF(Tabla1[[#This Row],[tamanho]]=$I$5,$L$5,IF(Tabla1[[#This Row],[tamanho]]=$I$6,$L$6,0))))*IF(C73="8_1",9,25))</f>
        <v>4.1982448998123138E-7</v>
      </c>
    </row>
    <row r="74" spans="1:6" ht="12.75" x14ac:dyDescent="0.2">
      <c r="A74" s="1">
        <v>3</v>
      </c>
      <c r="B74" s="1">
        <v>1</v>
      </c>
      <c r="C74" s="1" t="s">
        <v>5</v>
      </c>
      <c r="D74" s="1" t="s">
        <v>6</v>
      </c>
      <c r="E74" s="1">
        <v>0.40440726280212402</v>
      </c>
      <c r="F74" s="1">
        <f>Tabla1[[#This Row],[tiempo]]/(IF(Tabla1[[#This Row],[tamanho]]=$I$3,$L$3,IF(Tabla1[[#This Row],[tamanho]]=$I$4,$L$4,IF(Tabla1[[#This Row],[tamanho]]=$I$5,$L$5,IF(Tabla1[[#This Row],[tamanho]]=$I$6,$L$6,0))))*IF(C74="8_1",9,25))</f>
        <v>1.6666347802880869E-6</v>
      </c>
    </row>
    <row r="75" spans="1:6" ht="12.75" x14ac:dyDescent="0.2">
      <c r="A75" s="1">
        <v>3</v>
      </c>
      <c r="B75" s="1">
        <v>1</v>
      </c>
      <c r="C75" s="1" t="s">
        <v>7</v>
      </c>
      <c r="D75" s="1" t="s">
        <v>6</v>
      </c>
      <c r="E75" s="1">
        <v>0.45324182510375899</v>
      </c>
      <c r="F75" s="1">
        <f>Tabla1[[#This Row],[tiempo]]/(IF(Tabla1[[#This Row],[tamanho]]=$I$3,$L$3,IF(Tabla1[[#This Row],[tamanho]]=$I$4,$L$4,IF(Tabla1[[#This Row],[tamanho]]=$I$5,$L$5,IF(Tabla1[[#This Row],[tamanho]]=$I$6,$L$6,0))))*IF(C75="8_1",9,25))</f>
        <v>6.724406737194599E-7</v>
      </c>
    </row>
    <row r="76" spans="1:6" ht="12.75" x14ac:dyDescent="0.2">
      <c r="A76" s="1">
        <v>3</v>
      </c>
      <c r="B76" s="1">
        <v>1</v>
      </c>
      <c r="C76" s="1" t="s">
        <v>8</v>
      </c>
      <c r="D76" s="1" t="s">
        <v>6</v>
      </c>
      <c r="E76" s="1">
        <v>0.45679593086242598</v>
      </c>
      <c r="F76" s="1">
        <f>Tabla1[[#This Row],[tiempo]]/(IF(Tabla1[[#This Row],[tamanho]]=$I$3,$L$3,IF(Tabla1[[#This Row],[tamanho]]=$I$4,$L$4,IF(Tabla1[[#This Row],[tamanho]]=$I$5,$L$5,IF(Tabla1[[#This Row],[tamanho]]=$I$6,$L$6,0))))*IF(C76="8_1",9,25))</f>
        <v>6.7771363207956084E-7</v>
      </c>
    </row>
    <row r="77" spans="1:6" ht="12.75" x14ac:dyDescent="0.2">
      <c r="A77" s="1">
        <v>3</v>
      </c>
      <c r="B77" s="1">
        <v>1</v>
      </c>
      <c r="C77" s="1" t="s">
        <v>5</v>
      </c>
      <c r="D77" s="1" t="s">
        <v>9</v>
      </c>
      <c r="E77" s="1">
        <v>0.40582227706909102</v>
      </c>
      <c r="F77" s="1">
        <f>Tabla1[[#This Row],[tiempo]]/(IF(Tabla1[[#This Row],[tamanho]]=$I$3,$L$3,IF(Tabla1[[#This Row],[tamanho]]=$I$4,$L$4,IF(Tabla1[[#This Row],[tamanho]]=$I$5,$L$5,IF(Tabla1[[#This Row],[tamanho]]=$I$6,$L$6,0))))*IF(C77="8_1",9,25))</f>
        <v>1.672466307584581E-6</v>
      </c>
    </row>
    <row r="78" spans="1:6" ht="12.75" x14ac:dyDescent="0.2">
      <c r="A78" s="1">
        <v>3</v>
      </c>
      <c r="B78" s="1">
        <v>1</v>
      </c>
      <c r="C78" s="1" t="s">
        <v>7</v>
      </c>
      <c r="D78" s="1" t="s">
        <v>9</v>
      </c>
      <c r="E78" s="1">
        <v>0.45561671257018999</v>
      </c>
      <c r="F78" s="1">
        <f>Tabla1[[#This Row],[tiempo]]/(IF(Tabla1[[#This Row],[tamanho]]=$I$3,$L$3,IF(Tabla1[[#This Row],[tamanho]]=$I$4,$L$4,IF(Tabla1[[#This Row],[tamanho]]=$I$5,$L$5,IF(Tabla1[[#This Row],[tamanho]]=$I$6,$L$6,0))))*IF(C78="8_1",9,25))</f>
        <v>6.759641149366715E-7</v>
      </c>
    </row>
    <row r="79" spans="1:6" ht="12.75" x14ac:dyDescent="0.2">
      <c r="A79" s="1">
        <v>3</v>
      </c>
      <c r="B79" s="1">
        <v>1</v>
      </c>
      <c r="C79" s="1" t="s">
        <v>8</v>
      </c>
      <c r="D79" s="1" t="s">
        <v>9</v>
      </c>
      <c r="E79" s="1">
        <v>0.45941734313964799</v>
      </c>
      <c r="F79" s="1">
        <f>Tabla1[[#This Row],[tiempo]]/(IF(Tabla1[[#This Row],[tamanho]]=$I$3,$L$3,IF(Tabla1[[#This Row],[tamanho]]=$I$4,$L$4,IF(Tabla1[[#This Row],[tamanho]]=$I$5,$L$5,IF(Tabla1[[#This Row],[tamanho]]=$I$6,$L$6,0))))*IF(C79="8_1",9,25))</f>
        <v>6.816028235445985E-7</v>
      </c>
    </row>
    <row r="80" spans="1:6" ht="12.75" x14ac:dyDescent="0.2">
      <c r="A80" s="1">
        <v>3</v>
      </c>
      <c r="B80" s="1">
        <v>2</v>
      </c>
      <c r="C80" s="1" t="s">
        <v>5</v>
      </c>
      <c r="D80" s="1" t="s">
        <v>6</v>
      </c>
      <c r="E80" s="1">
        <v>1.6623837947845399</v>
      </c>
      <c r="F80" s="1">
        <f>Tabla1[[#This Row],[tiempo]]/(IF(Tabla1[[#This Row],[tamanho]]=$I$3,$L$3,IF(Tabla1[[#This Row],[tamanho]]=$I$4,$L$4,IF(Tabla1[[#This Row],[tamanho]]=$I$5,$L$5,IF(Tabla1[[#This Row],[tamanho]]=$I$6,$L$6,0))))*IF(C80="8_1",9,25))</f>
        <v>1.0064695814758751E-6</v>
      </c>
    </row>
    <row r="81" spans="1:6" ht="12.75" x14ac:dyDescent="0.2">
      <c r="A81" s="1">
        <v>3</v>
      </c>
      <c r="B81" s="1">
        <v>2</v>
      </c>
      <c r="C81" s="1" t="s">
        <v>7</v>
      </c>
      <c r="D81" s="1" t="s">
        <v>6</v>
      </c>
      <c r="E81" s="1">
        <v>1.8625943660736</v>
      </c>
      <c r="F81" s="1">
        <f>Tabla1[[#This Row],[tiempo]]/(IF(Tabla1[[#This Row],[tamanho]]=$I$3,$L$3,IF(Tabla1[[#This Row],[tamanho]]=$I$4,$L$4,IF(Tabla1[[#This Row],[tamanho]]=$I$5,$L$5,IF(Tabla1[[#This Row],[tamanho]]=$I$6,$L$6,0))))*IF(C81="8_1",9,25))</f>
        <v>4.0596644894314578E-7</v>
      </c>
    </row>
    <row r="82" spans="1:6" ht="12.75" x14ac:dyDescent="0.2">
      <c r="A82" s="1">
        <v>3</v>
      </c>
      <c r="B82" s="1">
        <v>2</v>
      </c>
      <c r="C82" s="1" t="s">
        <v>8</v>
      </c>
      <c r="D82" s="1" t="s">
        <v>6</v>
      </c>
      <c r="E82" s="1">
        <v>1.87554955482482</v>
      </c>
      <c r="F82" s="1">
        <f>Tabla1[[#This Row],[tiempo]]/(IF(Tabla1[[#This Row],[tamanho]]=$I$3,$L$3,IF(Tabla1[[#This Row],[tamanho]]=$I$4,$L$4,IF(Tabla1[[#This Row],[tamanho]]=$I$5,$L$5,IF(Tabla1[[#This Row],[tamanho]]=$I$6,$L$6,0))))*IF(C82="8_1",9,25))</f>
        <v>4.087901297555214E-7</v>
      </c>
    </row>
    <row r="83" spans="1:6" ht="12.75" x14ac:dyDescent="0.2">
      <c r="A83" s="1">
        <v>3</v>
      </c>
      <c r="B83" s="1">
        <v>2</v>
      </c>
      <c r="C83" s="1" t="s">
        <v>5</v>
      </c>
      <c r="D83" s="1" t="s">
        <v>9</v>
      </c>
      <c r="E83" s="1">
        <v>1.67536950111389</v>
      </c>
      <c r="F83" s="1">
        <f>Tabla1[[#This Row],[tiempo]]/(IF(Tabla1[[#This Row],[tamanho]]=$I$3,$L$3,IF(Tabla1[[#This Row],[tamanho]]=$I$4,$L$4,IF(Tabla1[[#This Row],[tamanho]]=$I$5,$L$5,IF(Tabla1[[#This Row],[tamanho]]=$I$6,$L$6,0))))*IF(C83="8_1",9,25))</f>
        <v>1.0143316157759408E-6</v>
      </c>
    </row>
    <row r="84" spans="1:6" ht="12.75" x14ac:dyDescent="0.2">
      <c r="A84" s="1">
        <v>3</v>
      </c>
      <c r="B84" s="1">
        <v>2</v>
      </c>
      <c r="C84" s="1" t="s">
        <v>7</v>
      </c>
      <c r="D84" s="1" t="s">
        <v>9</v>
      </c>
      <c r="E84" s="1">
        <v>1.8581392765045099</v>
      </c>
      <c r="F84" s="1">
        <f>Tabla1[[#This Row],[tiempo]]/(IF(Tabla1[[#This Row],[tamanho]]=$I$3,$L$3,IF(Tabla1[[#This Row],[tamanho]]=$I$4,$L$4,IF(Tabla1[[#This Row],[tamanho]]=$I$5,$L$5,IF(Tabla1[[#This Row],[tamanho]]=$I$6,$L$6,0))))*IF(C84="8_1",9,25))</f>
        <v>4.0499542866893561E-7</v>
      </c>
    </row>
    <row r="85" spans="1:6" ht="12.75" x14ac:dyDescent="0.2">
      <c r="A85" s="1">
        <v>3</v>
      </c>
      <c r="B85" s="1">
        <v>2</v>
      </c>
      <c r="C85" s="1" t="s">
        <v>8</v>
      </c>
      <c r="D85" s="1" t="s">
        <v>9</v>
      </c>
      <c r="E85" s="1">
        <v>1.8835117816925</v>
      </c>
      <c r="F85" s="1">
        <f>Tabla1[[#This Row],[tiempo]]/(IF(Tabla1[[#This Row],[tamanho]]=$I$3,$L$3,IF(Tabla1[[#This Row],[tamanho]]=$I$4,$L$4,IF(Tabla1[[#This Row],[tamanho]]=$I$5,$L$5,IF(Tabla1[[#This Row],[tamanho]]=$I$6,$L$6,0))))*IF(C85="8_1",9,25))</f>
        <v>4.1052555697791E-7</v>
      </c>
    </row>
    <row r="86" spans="1:6" ht="12.75" x14ac:dyDescent="0.2">
      <c r="A86" s="1">
        <v>3</v>
      </c>
      <c r="B86" s="1">
        <v>3</v>
      </c>
      <c r="C86" s="1" t="s">
        <v>5</v>
      </c>
      <c r="D86" s="1" t="s">
        <v>6</v>
      </c>
      <c r="E86" s="1">
        <v>3.9334192276000901</v>
      </c>
      <c r="F86" s="1">
        <f>Tabla1[[#This Row],[tiempo]]/(IF(Tabla1[[#This Row],[tamanho]]=$I$3,$L$3,IF(Tabla1[[#This Row],[tamanho]]=$I$4,$L$4,IF(Tabla1[[#This Row],[tamanho]]=$I$5,$L$5,IF(Tabla1[[#This Row],[tamanho]]=$I$6,$L$6,0))))*IF(C86="8_1",9,25))</f>
        <v>1.0575763051797675E-6</v>
      </c>
    </row>
    <row r="87" spans="1:6" ht="12.75" x14ac:dyDescent="0.2">
      <c r="A87" s="1">
        <v>3</v>
      </c>
      <c r="B87" s="1">
        <v>3</v>
      </c>
      <c r="C87" s="1" t="s">
        <v>7</v>
      </c>
      <c r="D87" s="1" t="s">
        <v>6</v>
      </c>
      <c r="E87" s="1">
        <v>4.2688779830932599</v>
      </c>
      <c r="F87" s="1">
        <f>Tabla1[[#This Row],[tiempo]]/(IF(Tabla1[[#This Row],[tamanho]]=$I$3,$L$3,IF(Tabla1[[#This Row],[tamanho]]=$I$4,$L$4,IF(Tabla1[[#This Row],[tamanho]]=$I$5,$L$5,IF(Tabla1[[#This Row],[tamanho]]=$I$6,$L$6,0))))*IF(C87="8_1",9,25))</f>
        <v>4.1319753110982959E-7</v>
      </c>
    </row>
    <row r="88" spans="1:6" ht="12.75" x14ac:dyDescent="0.2">
      <c r="A88" s="1">
        <v>3</v>
      </c>
      <c r="B88" s="1">
        <v>3</v>
      </c>
      <c r="C88" s="1" t="s">
        <v>8</v>
      </c>
      <c r="D88" s="1" t="s">
        <v>6</v>
      </c>
      <c r="E88" s="1">
        <v>4.3603413105010898</v>
      </c>
      <c r="F88" s="1">
        <f>Tabla1[[#This Row],[tiempo]]/(IF(Tabla1[[#This Row],[tamanho]]=$I$3,$L$3,IF(Tabla1[[#This Row],[tamanho]]=$I$4,$L$4,IF(Tabla1[[#This Row],[tamanho]]=$I$5,$L$5,IF(Tabla1[[#This Row],[tamanho]]=$I$6,$L$6,0))))*IF(C88="8_1",9,25))</f>
        <v>4.220505414843778E-7</v>
      </c>
    </row>
    <row r="89" spans="1:6" ht="12.75" x14ac:dyDescent="0.2">
      <c r="A89" s="1">
        <v>3</v>
      </c>
      <c r="B89" s="1">
        <v>3</v>
      </c>
      <c r="C89" s="1" t="s">
        <v>5</v>
      </c>
      <c r="D89" s="1" t="s">
        <v>9</v>
      </c>
      <c r="E89" s="1">
        <v>3.9027857780456499</v>
      </c>
      <c r="F89" s="1">
        <f>Tabla1[[#This Row],[tiempo]]/(IF(Tabla1[[#This Row],[tamanho]]=$I$3,$L$3,IF(Tabla1[[#This Row],[tamanho]]=$I$4,$L$4,IF(Tabla1[[#This Row],[tamanho]]=$I$5,$L$5,IF(Tabla1[[#This Row],[tamanho]]=$I$6,$L$6,0))))*IF(C89="8_1",9,25))</f>
        <v>1.0493399061284356E-6</v>
      </c>
    </row>
    <row r="90" spans="1:6" ht="12.75" x14ac:dyDescent="0.2">
      <c r="A90" s="1">
        <v>3</v>
      </c>
      <c r="B90" s="1">
        <v>3</v>
      </c>
      <c r="C90" s="1" t="s">
        <v>7</v>
      </c>
      <c r="D90" s="1" t="s">
        <v>9</v>
      </c>
      <c r="E90" s="1">
        <v>4.3431727886199898</v>
      </c>
      <c r="F90" s="1">
        <f>Tabla1[[#This Row],[tiempo]]/(IF(Tabla1[[#This Row],[tamanho]]=$I$3,$L$3,IF(Tabla1[[#This Row],[tamanho]]=$I$4,$L$4,IF(Tabla1[[#This Row],[tamanho]]=$I$5,$L$5,IF(Tabla1[[#This Row],[tamanho]]=$I$6,$L$6,0))))*IF(C90="8_1",9,25))</f>
        <v>4.2038874864743777E-7</v>
      </c>
    </row>
    <row r="91" spans="1:6" ht="12.75" x14ac:dyDescent="0.2">
      <c r="A91" s="1">
        <v>3</v>
      </c>
      <c r="B91" s="1">
        <v>3</v>
      </c>
      <c r="C91" s="1" t="s">
        <v>8</v>
      </c>
      <c r="D91" s="1" t="s">
        <v>9</v>
      </c>
      <c r="E91" s="1">
        <v>4.2886173725128103</v>
      </c>
      <c r="F91" s="1">
        <f>Tabla1[[#This Row],[tiempo]]/(IF(Tabla1[[#This Row],[tamanho]]=$I$3,$L$3,IF(Tabla1[[#This Row],[tamanho]]=$I$4,$L$4,IF(Tabla1[[#This Row],[tamanho]]=$I$5,$L$5,IF(Tabla1[[#This Row],[tamanho]]=$I$6,$L$6,0))))*IF(C91="8_1",9,25))</f>
        <v>4.1510816594316899E-7</v>
      </c>
    </row>
    <row r="92" spans="1:6" ht="12.75" x14ac:dyDescent="0.2">
      <c r="A92" s="1">
        <v>3</v>
      </c>
      <c r="B92" s="1">
        <v>4</v>
      </c>
      <c r="C92" s="1" t="s">
        <v>5</v>
      </c>
      <c r="D92" s="1" t="s">
        <v>6</v>
      </c>
      <c r="E92" s="1">
        <v>6.7875332832336399</v>
      </c>
      <c r="F92" s="1">
        <f>Tabla1[[#This Row],[tiempo]]/(IF(Tabla1[[#This Row],[tamanho]]=$I$3,$L$3,IF(Tabla1[[#This Row],[tamanho]]=$I$4,$L$4,IF(Tabla1[[#This Row],[tamanho]]=$I$5,$L$5,IF(Tabla1[[#This Row],[tamanho]]=$I$6,$L$6,0))))*IF(C92="8_1",9,25))</f>
        <v>1.0249623401966801E-6</v>
      </c>
    </row>
    <row r="93" spans="1:6" ht="12.75" x14ac:dyDescent="0.2">
      <c r="A93" s="1">
        <v>3</v>
      </c>
      <c r="B93" s="1">
        <v>4</v>
      </c>
      <c r="C93" s="1" t="s">
        <v>7</v>
      </c>
      <c r="D93" s="1" t="s">
        <v>6</v>
      </c>
      <c r="E93" s="1">
        <v>7.6069688796996999</v>
      </c>
      <c r="F93" s="1">
        <f>Tabla1[[#This Row],[tiempo]]/(IF(Tabla1[[#This Row],[tamanho]]=$I$3,$L$3,IF(Tabla1[[#This Row],[tamanho]]=$I$4,$L$4,IF(Tabla1[[#This Row],[tamanho]]=$I$5,$L$5,IF(Tabla1[[#This Row],[tamanho]]=$I$6,$L$6,0))))*IF(C93="8_1",9,25))</f>
        <v>4.1353290919986461E-7</v>
      </c>
    </row>
    <row r="94" spans="1:6" ht="12.75" x14ac:dyDescent="0.2">
      <c r="A94" s="1">
        <v>3</v>
      </c>
      <c r="B94" s="1">
        <v>4</v>
      </c>
      <c r="C94" s="1" t="s">
        <v>8</v>
      </c>
      <c r="D94" s="1" t="s">
        <v>6</v>
      </c>
      <c r="E94" s="1">
        <v>7.7060196399688703</v>
      </c>
      <c r="F94" s="1">
        <f>Tabla1[[#This Row],[tiempo]]/(IF(Tabla1[[#This Row],[tamanho]]=$I$3,$L$3,IF(Tabla1[[#This Row],[tamanho]]=$I$4,$L$4,IF(Tabla1[[#This Row],[tamanho]]=$I$5,$L$5,IF(Tabla1[[#This Row],[tamanho]]=$I$6,$L$6,0))))*IF(C94="8_1",9,25))</f>
        <v>4.189175439604824E-7</v>
      </c>
    </row>
    <row r="95" spans="1:6" ht="12.75" x14ac:dyDescent="0.2">
      <c r="A95" s="1">
        <v>3</v>
      </c>
      <c r="B95" s="1">
        <v>4</v>
      </c>
      <c r="C95" s="1" t="s">
        <v>5</v>
      </c>
      <c r="D95" s="1" t="s">
        <v>9</v>
      </c>
      <c r="E95" s="1">
        <v>6.8415327072143501</v>
      </c>
      <c r="F95" s="1">
        <f>Tabla1[[#This Row],[tiempo]]/(IF(Tabla1[[#This Row],[tamanho]]=$I$3,$L$3,IF(Tabla1[[#This Row],[tamanho]]=$I$4,$L$4,IF(Tabla1[[#This Row],[tamanho]]=$I$5,$L$5,IF(Tabla1[[#This Row],[tamanho]]=$I$6,$L$6,0))))*IF(C95="8_1",9,25))</f>
        <v>1.0331166097468949E-6</v>
      </c>
    </row>
    <row r="96" spans="1:6" ht="12.75" x14ac:dyDescent="0.2">
      <c r="A96" s="1">
        <v>3</v>
      </c>
      <c r="B96" s="1">
        <v>4</v>
      </c>
      <c r="C96" s="1" t="s">
        <v>7</v>
      </c>
      <c r="D96" s="1" t="s">
        <v>9</v>
      </c>
      <c r="E96" s="1">
        <v>7.6284065246581996</v>
      </c>
      <c r="F96" s="1">
        <f>Tabla1[[#This Row],[tiempo]]/(IF(Tabla1[[#This Row],[tamanho]]=$I$3,$L$3,IF(Tabla1[[#This Row],[tamanho]]=$I$4,$L$4,IF(Tabla1[[#This Row],[tamanho]]=$I$5,$L$5,IF(Tabla1[[#This Row],[tamanho]]=$I$6,$L$6,0))))*IF(C96="8_1",9,25))</f>
        <v>4.1469831053465126E-7</v>
      </c>
    </row>
    <row r="97" spans="1:6" ht="12.75" x14ac:dyDescent="0.2">
      <c r="A97" s="1">
        <v>3</v>
      </c>
      <c r="B97" s="1">
        <v>4</v>
      </c>
      <c r="C97" s="1" t="s">
        <v>8</v>
      </c>
      <c r="D97" s="1" t="s">
        <v>9</v>
      </c>
      <c r="E97" s="1">
        <v>7.6694571971893302</v>
      </c>
      <c r="F97" s="1">
        <f>Tabla1[[#This Row],[tiempo]]/(IF(Tabla1[[#This Row],[tamanho]]=$I$3,$L$3,IF(Tabla1[[#This Row],[tamanho]]=$I$4,$L$4,IF(Tabla1[[#This Row],[tamanho]]=$I$5,$L$5,IF(Tabla1[[#This Row],[tamanho]]=$I$6,$L$6,0))))*IF(C97="8_1",9,25))</f>
        <v>4.1692992266622074E-7</v>
      </c>
    </row>
    <row r="98" spans="1:6" ht="12.75" x14ac:dyDescent="0.2">
      <c r="A98" s="1">
        <v>4</v>
      </c>
      <c r="B98" s="1">
        <v>1</v>
      </c>
      <c r="C98" s="1" t="s">
        <v>5</v>
      </c>
      <c r="D98" s="1" t="s">
        <v>6</v>
      </c>
      <c r="E98" s="1">
        <v>0.40003252029418901</v>
      </c>
      <c r="F98" s="1">
        <f>Tabla1[[#This Row],[tiempo]]/(IF(Tabla1[[#This Row],[tamanho]]=$I$3,$L$3,IF(Tabla1[[#This Row],[tamanho]]=$I$4,$L$4,IF(Tabla1[[#This Row],[tamanho]]=$I$5,$L$5,IF(Tabla1[[#This Row],[tamanho]]=$I$6,$L$6,0))))*IF(C98="8_1",9,25))</f>
        <v>1.6486056826699843E-6</v>
      </c>
    </row>
    <row r="99" spans="1:6" ht="12.75" x14ac:dyDescent="0.2">
      <c r="A99" s="1">
        <v>4</v>
      </c>
      <c r="B99" s="1">
        <v>1</v>
      </c>
      <c r="C99" s="1" t="s">
        <v>7</v>
      </c>
      <c r="D99" s="1" t="s">
        <v>6</v>
      </c>
      <c r="E99" s="1">
        <v>0.45248937606811501</v>
      </c>
      <c r="F99" s="1">
        <f>Tabla1[[#This Row],[tiempo]]/(IF(Tabla1[[#This Row],[tamanho]]=$I$3,$L$3,IF(Tabla1[[#This Row],[tamanho]]=$I$4,$L$4,IF(Tabla1[[#This Row],[tamanho]]=$I$5,$L$5,IF(Tabla1[[#This Row],[tamanho]]=$I$6,$L$6,0))))*IF(C99="8_1",9,25))</f>
        <v>6.7132432189921003E-7</v>
      </c>
    </row>
    <row r="100" spans="1:6" ht="12.75" x14ac:dyDescent="0.2">
      <c r="A100" s="1">
        <v>4</v>
      </c>
      <c r="B100" s="1">
        <v>1</v>
      </c>
      <c r="C100" s="1" t="s">
        <v>8</v>
      </c>
      <c r="D100" s="1" t="s">
        <v>6</v>
      </c>
      <c r="E100" s="1">
        <v>0.45473098754882801</v>
      </c>
      <c r="F100" s="1">
        <f>Tabla1[[#This Row],[tiempo]]/(IF(Tabla1[[#This Row],[tamanho]]=$I$3,$L$3,IF(Tabla1[[#This Row],[tamanho]]=$I$4,$L$4,IF(Tabla1[[#This Row],[tamanho]]=$I$5,$L$5,IF(Tabla1[[#This Row],[tamanho]]=$I$6,$L$6,0))))*IF(C100="8_1",9,25))</f>
        <v>6.7465003159946298E-7</v>
      </c>
    </row>
    <row r="101" spans="1:6" ht="12.75" x14ac:dyDescent="0.2">
      <c r="A101" s="1">
        <v>4</v>
      </c>
      <c r="B101" s="1">
        <v>1</v>
      </c>
      <c r="C101" s="1" t="s">
        <v>5</v>
      </c>
      <c r="D101" s="1" t="s">
        <v>9</v>
      </c>
      <c r="E101" s="1">
        <v>0.40230417251586897</v>
      </c>
      <c r="F101" s="1">
        <f>Tabla1[[#This Row],[tiempo]]/(IF(Tabla1[[#This Row],[tamanho]]=$I$3,$L$3,IF(Tabla1[[#This Row],[tamanho]]=$I$4,$L$4,IF(Tabla1[[#This Row],[tamanho]]=$I$5,$L$5,IF(Tabla1[[#This Row],[tamanho]]=$I$6,$L$6,0))))*IF(C101="8_1",9,25))</f>
        <v>1.657967568446064E-6</v>
      </c>
    </row>
    <row r="102" spans="1:6" ht="12.75" x14ac:dyDescent="0.2">
      <c r="A102" s="1">
        <v>4</v>
      </c>
      <c r="B102" s="1">
        <v>1</v>
      </c>
      <c r="C102" s="1" t="s">
        <v>7</v>
      </c>
      <c r="D102" s="1" t="s">
        <v>9</v>
      </c>
      <c r="E102" s="1">
        <v>0.452138662338256</v>
      </c>
      <c r="F102" s="1">
        <f>Tabla1[[#This Row],[tiempo]]/(IF(Tabla1[[#This Row],[tamanho]]=$I$3,$L$3,IF(Tabla1[[#This Row],[tamanho]]=$I$4,$L$4,IF(Tabla1[[#This Row],[tamanho]]=$I$5,$L$5,IF(Tabla1[[#This Row],[tamanho]]=$I$6,$L$6,0))))*IF(C102="8_1",9,25))</f>
        <v>6.7080399441898451E-7</v>
      </c>
    </row>
    <row r="103" spans="1:6" ht="12.75" x14ac:dyDescent="0.2">
      <c r="A103" s="1">
        <v>4</v>
      </c>
      <c r="B103" s="1">
        <v>1</v>
      </c>
      <c r="C103" s="1" t="s">
        <v>8</v>
      </c>
      <c r="D103" s="1" t="s">
        <v>9</v>
      </c>
      <c r="E103" s="1">
        <v>0.457778930664062</v>
      </c>
      <c r="F103" s="1">
        <f>Tabla1[[#This Row],[tiempo]]/(IF(Tabla1[[#This Row],[tamanho]]=$I$3,$L$3,IF(Tabla1[[#This Row],[tamanho]]=$I$4,$L$4,IF(Tabla1[[#This Row],[tamanho]]=$I$5,$L$5,IF(Tabla1[[#This Row],[tamanho]]=$I$6,$L$6,0))))*IF(C103="8_1",9,25))</f>
        <v>6.7917203466349465E-7</v>
      </c>
    </row>
    <row r="104" spans="1:6" ht="12.75" x14ac:dyDescent="0.2">
      <c r="A104" s="1">
        <v>4</v>
      </c>
      <c r="B104" s="1">
        <v>2</v>
      </c>
      <c r="C104" s="1" t="s">
        <v>5</v>
      </c>
      <c r="D104" s="1" t="s">
        <v>6</v>
      </c>
      <c r="E104" s="1">
        <v>1.6607191562652499</v>
      </c>
      <c r="F104" s="1">
        <f>Tabla1[[#This Row],[tiempo]]/(IF(Tabla1[[#This Row],[tamanho]]=$I$3,$L$3,IF(Tabla1[[#This Row],[tamanho]]=$I$4,$L$4,IF(Tabla1[[#This Row],[tamanho]]=$I$5,$L$5,IF(Tabla1[[#This Row],[tamanho]]=$I$6,$L$6,0))))*IF(C104="8_1",9,25))</f>
        <v>1.0054617467995056E-6</v>
      </c>
    </row>
    <row r="105" spans="1:6" ht="12.75" x14ac:dyDescent="0.2">
      <c r="A105" s="1">
        <v>4</v>
      </c>
      <c r="B105" s="1">
        <v>2</v>
      </c>
      <c r="C105" s="1" t="s">
        <v>7</v>
      </c>
      <c r="D105" s="1" t="s">
        <v>6</v>
      </c>
      <c r="E105" s="1">
        <v>1.8586623668670601</v>
      </c>
      <c r="F105" s="1">
        <f>Tabla1[[#This Row],[tiempo]]/(IF(Tabla1[[#This Row],[tamanho]]=$I$3,$L$3,IF(Tabla1[[#This Row],[tamanho]]=$I$4,$L$4,IF(Tabla1[[#This Row],[tamanho]]=$I$5,$L$5,IF(Tabla1[[#This Row],[tamanho]]=$I$6,$L$6,0))))*IF(C105="8_1",9,25))</f>
        <v>4.0510944014713443E-7</v>
      </c>
    </row>
    <row r="106" spans="1:6" ht="12.75" x14ac:dyDescent="0.2">
      <c r="A106" s="1">
        <v>4</v>
      </c>
      <c r="B106" s="1">
        <v>2</v>
      </c>
      <c r="C106" s="1" t="s">
        <v>8</v>
      </c>
      <c r="D106" s="1" t="s">
        <v>6</v>
      </c>
      <c r="E106" s="1">
        <v>1.8785207271575901</v>
      </c>
      <c r="F106" s="1">
        <f>Tabla1[[#This Row],[tiempo]]/(IF(Tabla1[[#This Row],[tamanho]]=$I$3,$L$3,IF(Tabla1[[#This Row],[tamanho]]=$I$4,$L$4,IF(Tabla1[[#This Row],[tamanho]]=$I$5,$L$5,IF(Tabla1[[#This Row],[tamanho]]=$I$6,$L$6,0))))*IF(C106="8_1",9,25))</f>
        <v>4.094377191089003E-7</v>
      </c>
    </row>
    <row r="107" spans="1:6" ht="12.75" x14ac:dyDescent="0.2">
      <c r="A107" s="1">
        <v>4</v>
      </c>
      <c r="B107" s="1">
        <v>2</v>
      </c>
      <c r="C107" s="1" t="s">
        <v>5</v>
      </c>
      <c r="D107" s="1" t="s">
        <v>9</v>
      </c>
      <c r="E107" s="1">
        <v>1.6572003364562899</v>
      </c>
      <c r="F107" s="1">
        <f>Tabla1[[#This Row],[tiempo]]/(IF(Tabla1[[#This Row],[tamanho]]=$I$3,$L$3,IF(Tabla1[[#This Row],[tamanho]]=$I$4,$L$4,IF(Tabla1[[#This Row],[tamanho]]=$I$5,$L$5,IF(Tabla1[[#This Row],[tamanho]]=$I$6,$L$6,0))))*IF(C107="8_1",9,25))</f>
        <v>1.003331321135153E-6</v>
      </c>
    </row>
    <row r="108" spans="1:6" ht="12.75" x14ac:dyDescent="0.2">
      <c r="A108" s="1">
        <v>4</v>
      </c>
      <c r="B108" s="1">
        <v>2</v>
      </c>
      <c r="C108" s="1" t="s">
        <v>7</v>
      </c>
      <c r="D108" s="1" t="s">
        <v>9</v>
      </c>
      <c r="E108" s="1">
        <v>1.8583631515502901</v>
      </c>
      <c r="F108" s="1">
        <f>Tabla1[[#This Row],[tiempo]]/(IF(Tabla1[[#This Row],[tamanho]]=$I$3,$L$3,IF(Tabla1[[#This Row],[tamanho]]=$I$4,$L$4,IF(Tabla1[[#This Row],[tamanho]]=$I$5,$L$5,IF(Tabla1[[#This Row],[tamanho]]=$I$6,$L$6,0))))*IF(C108="8_1",9,25))</f>
        <v>4.0504422391872147E-7</v>
      </c>
    </row>
    <row r="109" spans="1:6" ht="12.75" x14ac:dyDescent="0.2">
      <c r="A109" s="1">
        <v>4</v>
      </c>
      <c r="B109" s="1">
        <v>2</v>
      </c>
      <c r="C109" s="1" t="s">
        <v>8</v>
      </c>
      <c r="D109" s="1" t="s">
        <v>9</v>
      </c>
      <c r="E109" s="1">
        <v>1.8816349506378101</v>
      </c>
      <c r="F109" s="1">
        <f>Tabla1[[#This Row],[tiempo]]/(IF(Tabla1[[#This Row],[tamanho]]=$I$3,$L$3,IF(Tabla1[[#This Row],[tamanho]]=$I$4,$L$4,IF(Tabla1[[#This Row],[tamanho]]=$I$5,$L$5,IF(Tabla1[[#This Row],[tamanho]]=$I$6,$L$6,0))))*IF(C109="8_1",9,25))</f>
        <v>4.101164875356219E-7</v>
      </c>
    </row>
    <row r="110" spans="1:6" ht="12.75" x14ac:dyDescent="0.2">
      <c r="A110" s="1">
        <v>4</v>
      </c>
      <c r="B110" s="1">
        <v>3</v>
      </c>
      <c r="C110" s="1" t="s">
        <v>5</v>
      </c>
      <c r="D110" s="1" t="s">
        <v>6</v>
      </c>
      <c r="E110" s="1">
        <v>3.8085987567901598</v>
      </c>
      <c r="F110" s="1">
        <f>Tabla1[[#This Row],[tiempo]]/(IF(Tabla1[[#This Row],[tamanho]]=$I$3,$L$3,IF(Tabla1[[#This Row],[tamanho]]=$I$4,$L$4,IF(Tabla1[[#This Row],[tamanho]]=$I$5,$L$5,IF(Tabla1[[#This Row],[tamanho]]=$I$6,$L$6,0))))*IF(C110="8_1",9,25))</f>
        <v>1.0240158925485141E-6</v>
      </c>
    </row>
    <row r="111" spans="1:6" ht="12.75" x14ac:dyDescent="0.2">
      <c r="A111" s="1">
        <v>4</v>
      </c>
      <c r="B111" s="1">
        <v>3</v>
      </c>
      <c r="C111" s="1" t="s">
        <v>7</v>
      </c>
      <c r="D111" s="1" t="s">
        <v>6</v>
      </c>
      <c r="E111" s="1">
        <v>4.2387106418609601</v>
      </c>
      <c r="F111" s="1">
        <f>Tabla1[[#This Row],[tiempo]]/(IF(Tabla1[[#This Row],[tamanho]]=$I$3,$L$3,IF(Tabla1[[#This Row],[tamanho]]=$I$4,$L$4,IF(Tabla1[[#This Row],[tamanho]]=$I$5,$L$5,IF(Tabla1[[#This Row],[tamanho]]=$I$6,$L$6,0))))*IF(C111="8_1",9,25))</f>
        <v>4.1027754347684929E-7</v>
      </c>
    </row>
    <row r="112" spans="1:6" ht="12.75" x14ac:dyDescent="0.2">
      <c r="A112" s="1">
        <v>4</v>
      </c>
      <c r="B112" s="1">
        <v>3</v>
      </c>
      <c r="C112" s="1" t="s">
        <v>8</v>
      </c>
      <c r="D112" s="1" t="s">
        <v>6</v>
      </c>
      <c r="E112" s="1">
        <v>4.2987110614776602</v>
      </c>
      <c r="F112" s="1">
        <f>Tabla1[[#This Row],[tiempo]]/(IF(Tabla1[[#This Row],[tamanho]]=$I$3,$L$3,IF(Tabla1[[#This Row],[tamanho]]=$I$4,$L$4,IF(Tabla1[[#This Row],[tamanho]]=$I$5,$L$5,IF(Tabla1[[#This Row],[tamanho]]=$I$6,$L$6,0))))*IF(C112="8_1",9,25))</f>
        <v>4.1608516443705529E-7</v>
      </c>
    </row>
    <row r="113" spans="1:6" ht="12.75" x14ac:dyDescent="0.2">
      <c r="A113" s="1">
        <v>4</v>
      </c>
      <c r="B113" s="1">
        <v>3</v>
      </c>
      <c r="C113" s="1" t="s">
        <v>5</v>
      </c>
      <c r="D113" s="1" t="s">
        <v>9</v>
      </c>
      <c r="E113" s="1">
        <v>3.8016395568847599</v>
      </c>
      <c r="F113" s="1">
        <f>Tabla1[[#This Row],[tiempo]]/(IF(Tabla1[[#This Row],[tamanho]]=$I$3,$L$3,IF(Tabla1[[#This Row],[tamanho]]=$I$4,$L$4,IF(Tabla1[[#This Row],[tamanho]]=$I$5,$L$5,IF(Tabla1[[#This Row],[tamanho]]=$I$6,$L$6,0))))*IF(C113="8_1",9,25))</f>
        <v>1.0221447762252609E-6</v>
      </c>
    </row>
    <row r="114" spans="1:6" ht="12.75" x14ac:dyDescent="0.2">
      <c r="A114" s="1">
        <v>4</v>
      </c>
      <c r="B114" s="1">
        <v>3</v>
      </c>
      <c r="C114" s="1" t="s">
        <v>7</v>
      </c>
      <c r="D114" s="1" t="s">
        <v>9</v>
      </c>
      <c r="E114" s="1">
        <v>4.25477695465087</v>
      </c>
      <c r="F114" s="1">
        <f>Tabla1[[#This Row],[tiempo]]/(IF(Tabla1[[#This Row],[tamanho]]=$I$3,$L$3,IF(Tabla1[[#This Row],[tamanho]]=$I$4,$L$4,IF(Tabla1[[#This Row],[tamanho]]=$I$5,$L$5,IF(Tabla1[[#This Row],[tamanho]]=$I$6,$L$6,0))))*IF(C114="8_1",9,25))</f>
        <v>4.1183265018290203E-7</v>
      </c>
    </row>
    <row r="115" spans="1:6" ht="12.75" x14ac:dyDescent="0.2">
      <c r="A115" s="1">
        <v>4</v>
      </c>
      <c r="B115" s="1">
        <v>3</v>
      </c>
      <c r="C115" s="1" t="s">
        <v>8</v>
      </c>
      <c r="D115" s="1" t="s">
        <v>9</v>
      </c>
      <c r="E115" s="1">
        <v>4.3088459968566797</v>
      </c>
      <c r="F115" s="1">
        <f>Tabla1[[#This Row],[tiempo]]/(IF(Tabla1[[#This Row],[tamanho]]=$I$3,$L$3,IF(Tabla1[[#This Row],[tamanho]]=$I$4,$L$4,IF(Tabla1[[#This Row],[tamanho]]=$I$5,$L$5,IF(Tabla1[[#This Row],[tamanho]]=$I$6,$L$6,0))))*IF(C115="8_1",9,25))</f>
        <v>4.1706615529534497E-7</v>
      </c>
    </row>
    <row r="116" spans="1:6" ht="12.75" x14ac:dyDescent="0.2">
      <c r="A116" s="1">
        <v>4</v>
      </c>
      <c r="B116" s="1">
        <v>4</v>
      </c>
      <c r="C116" s="1" t="s">
        <v>5</v>
      </c>
      <c r="D116" s="1" t="s">
        <v>6</v>
      </c>
      <c r="E116" s="1">
        <v>6.8288066387176496</v>
      </c>
      <c r="F116" s="1">
        <f>Tabla1[[#This Row],[tiempo]]/(IF(Tabla1[[#This Row],[tamanho]]=$I$3,$L$3,IF(Tabla1[[#This Row],[tamanho]]=$I$4,$L$4,IF(Tabla1[[#This Row],[tamanho]]=$I$5,$L$5,IF(Tabla1[[#This Row],[tamanho]]=$I$6,$L$6,0))))*IF(C116="8_1",9,25))</f>
        <v>1.0311948893805134E-6</v>
      </c>
    </row>
    <row r="117" spans="1:6" ht="12.75" x14ac:dyDescent="0.2">
      <c r="A117" s="1">
        <v>4</v>
      </c>
      <c r="B117" s="1">
        <v>4</v>
      </c>
      <c r="C117" s="1" t="s">
        <v>7</v>
      </c>
      <c r="D117" s="1" t="s">
        <v>6</v>
      </c>
      <c r="E117" s="1">
        <v>7.5913426876068097</v>
      </c>
      <c r="F117" s="1">
        <f>Tabla1[[#This Row],[tiempo]]/(IF(Tabla1[[#This Row],[tamanho]]=$I$3,$L$3,IF(Tabla1[[#This Row],[tamanho]]=$I$4,$L$4,IF(Tabla1[[#This Row],[tamanho]]=$I$5,$L$5,IF(Tabla1[[#This Row],[tamanho]]=$I$6,$L$6,0))))*IF(C117="8_1",9,25))</f>
        <v>4.1268343225601472E-7</v>
      </c>
    </row>
    <row r="118" spans="1:6" ht="12.75" x14ac:dyDescent="0.2">
      <c r="A118" s="1">
        <v>4</v>
      </c>
      <c r="B118" s="1">
        <v>4</v>
      </c>
      <c r="C118" s="1" t="s">
        <v>8</v>
      </c>
      <c r="D118" s="1" t="s">
        <v>6</v>
      </c>
      <c r="E118" s="1">
        <v>7.6007997989654497</v>
      </c>
      <c r="F118" s="1">
        <f>Tabla1[[#This Row],[tiempo]]/(IF(Tabla1[[#This Row],[tamanho]]=$I$3,$L$3,IF(Tabla1[[#This Row],[tamanho]]=$I$4,$L$4,IF(Tabla1[[#This Row],[tamanho]]=$I$5,$L$5,IF(Tabla1[[#This Row],[tamanho]]=$I$6,$L$6,0))))*IF(C118="8_1",9,25))</f>
        <v>4.1319754330794788E-7</v>
      </c>
    </row>
    <row r="119" spans="1:6" ht="12.75" x14ac:dyDescent="0.2">
      <c r="A119" s="1">
        <v>4</v>
      </c>
      <c r="B119" s="1">
        <v>4</v>
      </c>
      <c r="C119" s="1" t="s">
        <v>5</v>
      </c>
      <c r="D119" s="1" t="s">
        <v>9</v>
      </c>
      <c r="E119" s="1">
        <v>6.8259897232055602</v>
      </c>
      <c r="F119" s="1">
        <f>Tabla1[[#This Row],[tiempo]]/(IF(Tabla1[[#This Row],[tamanho]]=$I$3,$L$3,IF(Tabla1[[#This Row],[tamanho]]=$I$4,$L$4,IF(Tabla1[[#This Row],[tamanho]]=$I$5,$L$5,IF(Tabla1[[#This Row],[tamanho]]=$I$6,$L$6,0))))*IF(C119="8_1",9,25))</f>
        <v>1.0307695165396113E-6</v>
      </c>
    </row>
    <row r="120" spans="1:6" ht="12.75" x14ac:dyDescent="0.2">
      <c r="A120" s="1">
        <v>4</v>
      </c>
      <c r="B120" s="1">
        <v>4</v>
      </c>
      <c r="C120" s="1" t="s">
        <v>7</v>
      </c>
      <c r="D120" s="1" t="s">
        <v>9</v>
      </c>
      <c r="E120" s="1">
        <v>7.5718367099761901</v>
      </c>
      <c r="F120" s="1">
        <f>Tabla1[[#This Row],[tiempo]]/(IF(Tabla1[[#This Row],[tamanho]]=$I$3,$L$3,IF(Tabla1[[#This Row],[tamanho]]=$I$4,$L$4,IF(Tabla1[[#This Row],[tamanho]]=$I$5,$L$5,IF(Tabla1[[#This Row],[tamanho]]=$I$6,$L$6,0))))*IF(C120="8_1",9,25))</f>
        <v>4.1162304094852506E-7</v>
      </c>
    </row>
    <row r="121" spans="1:6" ht="12.75" x14ac:dyDescent="0.2">
      <c r="A121" s="1">
        <v>4</v>
      </c>
      <c r="B121" s="1">
        <v>4</v>
      </c>
      <c r="C121" s="1" t="s">
        <v>8</v>
      </c>
      <c r="D121" s="1" t="s">
        <v>9</v>
      </c>
      <c r="E121" s="1">
        <v>7.7018437385559002</v>
      </c>
      <c r="F121" s="1">
        <f>Tabla1[[#This Row],[tiempo]]/(IF(Tabla1[[#This Row],[tamanho]]=$I$3,$L$3,IF(Tabla1[[#This Row],[tamanho]]=$I$4,$L$4,IF(Tabla1[[#This Row],[tamanho]]=$I$5,$L$5,IF(Tabla1[[#This Row],[tamanho]]=$I$6,$L$6,0))))*IF(C121="8_1",9,25))</f>
        <v>4.1869053203403084E-7</v>
      </c>
    </row>
    <row r="122" spans="1:6" ht="12.75" x14ac:dyDescent="0.2">
      <c r="A122" s="1">
        <v>5</v>
      </c>
      <c r="B122" s="1">
        <v>1</v>
      </c>
      <c r="C122" s="1" t="s">
        <v>5</v>
      </c>
      <c r="D122" s="1" t="s">
        <v>6</v>
      </c>
      <c r="E122" s="1">
        <v>0.41138172149658198</v>
      </c>
      <c r="F122" s="1">
        <f>Tabla1[[#This Row],[tiempo]]/(IF(Tabla1[[#This Row],[tamanho]]=$I$3,$L$3,IF(Tabla1[[#This Row],[tamanho]]=$I$4,$L$4,IF(Tabla1[[#This Row],[tamanho]]=$I$5,$L$5,IF(Tabla1[[#This Row],[tamanho]]=$I$6,$L$6,0))))*IF(C122="8_1",9,25))</f>
        <v>1.6953777740546302E-6</v>
      </c>
    </row>
    <row r="123" spans="1:6" ht="12.75" x14ac:dyDescent="0.2">
      <c r="A123" s="1">
        <v>5</v>
      </c>
      <c r="B123" s="1">
        <v>1</v>
      </c>
      <c r="C123" s="1" t="s">
        <v>7</v>
      </c>
      <c r="D123" s="1" t="s">
        <v>6</v>
      </c>
      <c r="E123" s="1">
        <v>0.46098685264587402</v>
      </c>
      <c r="F123" s="1">
        <f>Tabla1[[#This Row],[tiempo]]/(IF(Tabla1[[#This Row],[tamanho]]=$I$3,$L$3,IF(Tabla1[[#This Row],[tamanho]]=$I$4,$L$4,IF(Tabla1[[#This Row],[tamanho]]=$I$5,$L$5,IF(Tabla1[[#This Row],[tamanho]]=$I$6,$L$6,0))))*IF(C123="8_1",9,25))</f>
        <v>6.8393138629260643E-7</v>
      </c>
    </row>
    <row r="124" spans="1:6" ht="12.75" x14ac:dyDescent="0.2">
      <c r="A124" s="1">
        <v>5</v>
      </c>
      <c r="B124" s="1">
        <v>1</v>
      </c>
      <c r="C124" s="1" t="s">
        <v>8</v>
      </c>
      <c r="D124" s="1" t="s">
        <v>6</v>
      </c>
      <c r="E124" s="1">
        <v>0.46271085739135698</v>
      </c>
      <c r="F124" s="1">
        <f>Tabla1[[#This Row],[tiempo]]/(IF(Tabla1[[#This Row],[tamanho]]=$I$3,$L$3,IF(Tabla1[[#This Row],[tamanho]]=$I$4,$L$4,IF(Tabla1[[#This Row],[tamanho]]=$I$5,$L$5,IF(Tabla1[[#This Row],[tamanho]]=$I$6,$L$6,0))))*IF(C124="8_1",9,25))</f>
        <v>6.8648916196188117E-7</v>
      </c>
    </row>
    <row r="125" spans="1:6" ht="12.75" x14ac:dyDescent="0.2">
      <c r="A125" s="1">
        <v>5</v>
      </c>
      <c r="B125" s="1">
        <v>1</v>
      </c>
      <c r="C125" s="1" t="s">
        <v>5</v>
      </c>
      <c r="D125" s="1" t="s">
        <v>9</v>
      </c>
      <c r="E125" s="1">
        <v>0.40753674507141102</v>
      </c>
      <c r="F125" s="1">
        <f>Tabla1[[#This Row],[tiempo]]/(IF(Tabla1[[#This Row],[tamanho]]=$I$3,$L$3,IF(Tabla1[[#This Row],[tamanho]]=$I$4,$L$4,IF(Tabla1[[#This Row],[tamanho]]=$I$5,$L$5,IF(Tabla1[[#This Row],[tamanho]]=$I$6,$L$6,0))))*IF(C125="8_1",9,25))</f>
        <v>1.6795319373721343E-6</v>
      </c>
    </row>
    <row r="126" spans="1:6" ht="12.75" x14ac:dyDescent="0.2">
      <c r="A126" s="1">
        <v>5</v>
      </c>
      <c r="B126" s="1">
        <v>1</v>
      </c>
      <c r="C126" s="1" t="s">
        <v>7</v>
      </c>
      <c r="D126" s="1" t="s">
        <v>9</v>
      </c>
      <c r="E126" s="1">
        <v>0.46574330329894997</v>
      </c>
      <c r="F126" s="1">
        <f>Tabla1[[#This Row],[tiempo]]/(IF(Tabla1[[#This Row],[tamanho]]=$I$3,$L$3,IF(Tabla1[[#This Row],[tamanho]]=$I$4,$L$4,IF(Tabla1[[#This Row],[tamanho]]=$I$5,$L$5,IF(Tabla1[[#This Row],[tamanho]]=$I$6,$L$6,0))))*IF(C126="8_1",9,25))</f>
        <v>6.9098817298905825E-7</v>
      </c>
    </row>
    <row r="127" spans="1:6" ht="12.75" x14ac:dyDescent="0.2">
      <c r="A127" s="1">
        <v>5</v>
      </c>
      <c r="B127" s="1">
        <v>1</v>
      </c>
      <c r="C127" s="1" t="s">
        <v>8</v>
      </c>
      <c r="D127" s="1" t="s">
        <v>9</v>
      </c>
      <c r="E127" s="1">
        <v>0.46283912658691401</v>
      </c>
      <c r="F127" s="1">
        <f>Tabla1[[#This Row],[tiempo]]/(IF(Tabla1[[#This Row],[tamanho]]=$I$3,$L$3,IF(Tabla1[[#This Row],[tamanho]]=$I$4,$L$4,IF(Tabla1[[#This Row],[tamanho]]=$I$5,$L$5,IF(Tabla1[[#This Row],[tamanho]]=$I$6,$L$6,0))))*IF(C127="8_1",9,25))</f>
        <v>6.8667946528231743E-7</v>
      </c>
    </row>
    <row r="128" spans="1:6" ht="12.75" x14ac:dyDescent="0.2">
      <c r="A128" s="1">
        <v>5</v>
      </c>
      <c r="B128" s="1">
        <v>2</v>
      </c>
      <c r="C128" s="1" t="s">
        <v>5</v>
      </c>
      <c r="D128" s="1" t="s">
        <v>6</v>
      </c>
      <c r="E128" s="1">
        <v>1.6651811599731401</v>
      </c>
      <c r="F128" s="1">
        <f>Tabla1[[#This Row],[tiempo]]/(IF(Tabla1[[#This Row],[tamanho]]=$I$3,$L$3,IF(Tabla1[[#This Row],[tamanho]]=$I$4,$L$4,IF(Tabla1[[#This Row],[tamanho]]=$I$5,$L$5,IF(Tabla1[[#This Row],[tamanho]]=$I$6,$L$6,0))))*IF(C128="8_1",9,25))</f>
        <v>1.0081632114182738E-6</v>
      </c>
    </row>
    <row r="129" spans="1:6" ht="12.75" x14ac:dyDescent="0.2">
      <c r="A129" s="1">
        <v>5</v>
      </c>
      <c r="B129" s="1">
        <v>2</v>
      </c>
      <c r="C129" s="1" t="s">
        <v>7</v>
      </c>
      <c r="D129" s="1" t="s">
        <v>6</v>
      </c>
      <c r="E129" s="1">
        <v>1.89270687103271</v>
      </c>
      <c r="F129" s="1">
        <f>Tabla1[[#This Row],[tiempo]]/(IF(Tabla1[[#This Row],[tamanho]]=$I$3,$L$3,IF(Tabla1[[#This Row],[tamanho]]=$I$4,$L$4,IF(Tabla1[[#This Row],[tamanho]]=$I$5,$L$5,IF(Tabla1[[#This Row],[tamanho]]=$I$6,$L$6,0))))*IF(C129="8_1",9,25))</f>
        <v>4.125296958474101E-7</v>
      </c>
    </row>
    <row r="130" spans="1:6" ht="12.75" x14ac:dyDescent="0.2">
      <c r="A130" s="1">
        <v>5</v>
      </c>
      <c r="B130" s="1">
        <v>2</v>
      </c>
      <c r="C130" s="1" t="s">
        <v>8</v>
      </c>
      <c r="D130" s="1" t="s">
        <v>6</v>
      </c>
      <c r="E130" s="1">
        <v>1.87533831596374</v>
      </c>
      <c r="F130" s="1">
        <f>Tabla1[[#This Row],[tiempo]]/(IF(Tabla1[[#This Row],[tamanho]]=$I$3,$L$3,IF(Tabla1[[#This Row],[tamanho]]=$I$4,$L$4,IF(Tabla1[[#This Row],[tamanho]]=$I$5,$L$5,IF(Tabla1[[#This Row],[tamanho]]=$I$6,$L$6,0))))*IF(C130="8_1",9,25))</f>
        <v>4.0874408865721604E-7</v>
      </c>
    </row>
    <row r="131" spans="1:6" ht="12.75" x14ac:dyDescent="0.2">
      <c r="A131" s="1">
        <v>5</v>
      </c>
      <c r="B131" s="1">
        <v>2</v>
      </c>
      <c r="C131" s="1" t="s">
        <v>5</v>
      </c>
      <c r="D131" s="1" t="s">
        <v>9</v>
      </c>
      <c r="E131" s="1">
        <v>1.6809723377227701</v>
      </c>
      <c r="F131" s="1">
        <f>Tabla1[[#This Row],[tiempo]]/(IF(Tabla1[[#This Row],[tamanho]]=$I$3,$L$3,IF(Tabla1[[#This Row],[tamanho]]=$I$4,$L$4,IF(Tabla1[[#This Row],[tamanho]]=$I$5,$L$5,IF(Tabla1[[#This Row],[tamanho]]=$I$6,$L$6,0))))*IF(C131="8_1",9,25))</f>
        <v>1.0177237834778331E-6</v>
      </c>
    </row>
    <row r="132" spans="1:6" ht="12.75" x14ac:dyDescent="0.2">
      <c r="A132" s="1">
        <v>5</v>
      </c>
      <c r="B132" s="1">
        <v>2</v>
      </c>
      <c r="C132" s="1" t="s">
        <v>7</v>
      </c>
      <c r="D132" s="1" t="s">
        <v>9</v>
      </c>
      <c r="E132" s="1">
        <v>1.8616797924041699</v>
      </c>
      <c r="F132" s="1">
        <f>Tabla1[[#This Row],[tiempo]]/(IF(Tabla1[[#This Row],[tamanho]]=$I$3,$L$3,IF(Tabla1[[#This Row],[tamanho]]=$I$4,$L$4,IF(Tabla1[[#This Row],[tamanho]]=$I$5,$L$5,IF(Tabla1[[#This Row],[tamanho]]=$I$6,$L$6,0))))*IF(C132="8_1",9,25))</f>
        <v>4.0576711073422696E-7</v>
      </c>
    </row>
    <row r="133" spans="1:6" ht="12.75" x14ac:dyDescent="0.2">
      <c r="A133" s="1">
        <v>5</v>
      </c>
      <c r="B133" s="1">
        <v>2</v>
      </c>
      <c r="C133" s="1" t="s">
        <v>8</v>
      </c>
      <c r="D133" s="1" t="s">
        <v>9</v>
      </c>
      <c r="E133" s="1">
        <v>1.88933253288269</v>
      </c>
      <c r="F133" s="1">
        <f>Tabla1[[#This Row],[tiempo]]/(IF(Tabla1[[#This Row],[tamanho]]=$I$3,$L$3,IF(Tabla1[[#This Row],[tamanho]]=$I$4,$L$4,IF(Tabla1[[#This Row],[tamanho]]=$I$5,$L$5,IF(Tabla1[[#This Row],[tamanho]]=$I$6,$L$6,0))))*IF(C133="8_1",9,25))</f>
        <v>4.1179423347232268E-7</v>
      </c>
    </row>
    <row r="134" spans="1:6" ht="12.75" x14ac:dyDescent="0.2">
      <c r="A134" s="1">
        <v>5</v>
      </c>
      <c r="B134" s="1">
        <v>3</v>
      </c>
      <c r="C134" s="1" t="s">
        <v>5</v>
      </c>
      <c r="D134" s="1" t="s">
        <v>6</v>
      </c>
      <c r="E134" s="1">
        <v>3.7829306125640798</v>
      </c>
      <c r="F134" s="1">
        <f>Tabla1[[#This Row],[tiempo]]/(IF(Tabla1[[#This Row],[tamanho]]=$I$3,$L$3,IF(Tabla1[[#This Row],[tamanho]]=$I$4,$L$4,IF(Tabla1[[#This Row],[tamanho]]=$I$5,$L$5,IF(Tabla1[[#This Row],[tamanho]]=$I$6,$L$6,0))))*IF(C134="8_1",9,25))</f>
        <v>1.0171145124614488E-6</v>
      </c>
    </row>
    <row r="135" spans="1:6" ht="12.75" x14ac:dyDescent="0.2">
      <c r="A135" s="1">
        <v>5</v>
      </c>
      <c r="B135" s="1">
        <v>3</v>
      </c>
      <c r="C135" s="1" t="s">
        <v>7</v>
      </c>
      <c r="D135" s="1" t="s">
        <v>6</v>
      </c>
      <c r="E135" s="1">
        <v>4.3568737506866402</v>
      </c>
      <c r="F135" s="1">
        <f>Tabla1[[#This Row],[tiempo]]/(IF(Tabla1[[#This Row],[tamanho]]=$I$3,$L$3,IF(Tabla1[[#This Row],[tamanho]]=$I$4,$L$4,IF(Tabla1[[#This Row],[tamanho]]=$I$5,$L$5,IF(Tabla1[[#This Row],[tamanho]]=$I$6,$L$6,0))))*IF(C135="8_1",9,25))</f>
        <v>4.2171490594736303E-7</v>
      </c>
    </row>
    <row r="136" spans="1:6" ht="12.75" x14ac:dyDescent="0.2">
      <c r="A136" s="1">
        <v>5</v>
      </c>
      <c r="B136" s="1">
        <v>3</v>
      </c>
      <c r="C136" s="1" t="s">
        <v>8</v>
      </c>
      <c r="D136" s="1" t="s">
        <v>6</v>
      </c>
      <c r="E136" s="1">
        <v>4.3163325786590496</v>
      </c>
      <c r="F136" s="1">
        <f>Tabla1[[#This Row],[tiempo]]/(IF(Tabla1[[#This Row],[tamanho]]=$I$3,$L$3,IF(Tabla1[[#This Row],[tamanho]]=$I$4,$L$4,IF(Tabla1[[#This Row],[tamanho]]=$I$5,$L$5,IF(Tabla1[[#This Row],[tamanho]]=$I$6,$L$6,0))))*IF(C136="8_1",9,25))</f>
        <v>4.1779080405069528E-7</v>
      </c>
    </row>
    <row r="137" spans="1:6" ht="12.75" x14ac:dyDescent="0.2">
      <c r="A137" s="1">
        <v>5</v>
      </c>
      <c r="B137" s="1">
        <v>3</v>
      </c>
      <c r="C137" s="1" t="s">
        <v>5</v>
      </c>
      <c r="D137" s="1" t="s">
        <v>9</v>
      </c>
      <c r="E137" s="1">
        <v>3.83412337303161</v>
      </c>
      <c r="F137" s="1">
        <f>Tabla1[[#This Row],[tiempo]]/(IF(Tabla1[[#This Row],[tamanho]]=$I$3,$L$3,IF(Tabla1[[#This Row],[tamanho]]=$I$4,$L$4,IF(Tabla1[[#This Row],[tamanho]]=$I$5,$L$5,IF(Tabla1[[#This Row],[tamanho]]=$I$6,$L$6,0))))*IF(C137="8_1",9,25))</f>
        <v>1.0308786823438023E-6</v>
      </c>
    </row>
    <row r="138" spans="1:6" ht="12.75" x14ac:dyDescent="0.2">
      <c r="A138" s="1">
        <v>5</v>
      </c>
      <c r="B138" s="1">
        <v>3</v>
      </c>
      <c r="C138" s="1" t="s">
        <v>7</v>
      </c>
      <c r="D138" s="1" t="s">
        <v>9</v>
      </c>
      <c r="E138" s="1">
        <v>4.3375916481018004</v>
      </c>
      <c r="F138" s="1">
        <f>Tabla1[[#This Row],[tiempo]]/(IF(Tabla1[[#This Row],[tamanho]]=$I$3,$L$3,IF(Tabla1[[#This Row],[tamanho]]=$I$4,$L$4,IF(Tabla1[[#This Row],[tamanho]]=$I$5,$L$5,IF(Tabla1[[#This Row],[tamanho]]=$I$6,$L$6,0))))*IF(C138="8_1",9,25))</f>
        <v>4.1984853328123936E-7</v>
      </c>
    </row>
    <row r="139" spans="1:6" ht="12.75" x14ac:dyDescent="0.2">
      <c r="A139" s="1">
        <v>5</v>
      </c>
      <c r="B139" s="1">
        <v>3</v>
      </c>
      <c r="C139" s="1" t="s">
        <v>8</v>
      </c>
      <c r="D139" s="1" t="s">
        <v>9</v>
      </c>
      <c r="E139" s="1">
        <v>4.3973109722137398</v>
      </c>
      <c r="F139" s="1">
        <f>Tabla1[[#This Row],[tiempo]]/(IF(Tabla1[[#This Row],[tamanho]]=$I$3,$L$3,IF(Tabla1[[#This Row],[tamanho]]=$I$4,$L$4,IF(Tabla1[[#This Row],[tamanho]]=$I$5,$L$5,IF(Tabla1[[#This Row],[tamanho]]=$I$6,$L$6,0))))*IF(C139="8_1",9,25))</f>
        <v>4.256289461626403E-7</v>
      </c>
    </row>
    <row r="140" spans="1:6" ht="12.75" x14ac:dyDescent="0.2">
      <c r="A140" s="1">
        <v>5</v>
      </c>
      <c r="B140" s="1">
        <v>4</v>
      </c>
      <c r="C140" s="1" t="s">
        <v>5</v>
      </c>
      <c r="D140" s="1" t="s">
        <v>6</v>
      </c>
      <c r="E140" s="1">
        <v>6.7546222209930402</v>
      </c>
      <c r="F140" s="1">
        <f>Tabla1[[#This Row],[tiempo]]/(IF(Tabla1[[#This Row],[tamanho]]=$I$3,$L$3,IF(Tabla1[[#This Row],[tamanho]]=$I$4,$L$4,IF(Tabla1[[#This Row],[tamanho]]=$I$5,$L$5,IF(Tabla1[[#This Row],[tamanho]]=$I$6,$L$6,0))))*IF(C140="8_1",9,25))</f>
        <v>1.0199925525043222E-6</v>
      </c>
    </row>
    <row r="141" spans="1:6" ht="12.75" x14ac:dyDescent="0.2">
      <c r="A141" s="1">
        <v>5</v>
      </c>
      <c r="B141" s="1">
        <v>4</v>
      </c>
      <c r="C141" s="1" t="s">
        <v>7</v>
      </c>
      <c r="D141" s="1" t="s">
        <v>6</v>
      </c>
      <c r="E141" s="1">
        <v>7.7557928562164298</v>
      </c>
      <c r="F141" s="1">
        <f>Tabla1[[#This Row],[tiempo]]/(IF(Tabla1[[#This Row],[tamanho]]=$I$3,$L$3,IF(Tabla1[[#This Row],[tamanho]]=$I$4,$L$4,IF(Tabla1[[#This Row],[tamanho]]=$I$5,$L$5,IF(Tabla1[[#This Row],[tamanho]]=$I$6,$L$6,0))))*IF(C141="8_1",9,25))</f>
        <v>4.2162333430097077E-7</v>
      </c>
    </row>
    <row r="142" spans="1:6" ht="12.75" x14ac:dyDescent="0.2">
      <c r="A142" s="1">
        <v>5</v>
      </c>
      <c r="B142" s="1">
        <v>4</v>
      </c>
      <c r="C142" s="1" t="s">
        <v>8</v>
      </c>
      <c r="D142" s="1" t="s">
        <v>6</v>
      </c>
      <c r="E142" s="1">
        <v>7.6740097999572701</v>
      </c>
      <c r="F142" s="1">
        <f>Tabla1[[#This Row],[tiempo]]/(IF(Tabla1[[#This Row],[tamanho]]=$I$3,$L$3,IF(Tabla1[[#This Row],[tamanho]]=$I$4,$L$4,IF(Tabla1[[#This Row],[tamanho]]=$I$5,$L$5,IF(Tabla1[[#This Row],[tamanho]]=$I$6,$L$6,0))))*IF(C142="8_1",9,25))</f>
        <v>4.1717741297370468E-7</v>
      </c>
    </row>
    <row r="143" spans="1:6" ht="12.75" x14ac:dyDescent="0.2">
      <c r="A143" s="1">
        <v>5</v>
      </c>
      <c r="B143" s="1">
        <v>4</v>
      </c>
      <c r="C143" s="1" t="s">
        <v>5</v>
      </c>
      <c r="D143" s="1" t="s">
        <v>9</v>
      </c>
      <c r="E143" s="1">
        <v>6.8116328716277996</v>
      </c>
      <c r="F143" s="1">
        <f>Tabla1[[#This Row],[tiempo]]/(IF(Tabla1[[#This Row],[tamanho]]=$I$3,$L$3,IF(Tabla1[[#This Row],[tamanho]]=$I$4,$L$4,IF(Tabla1[[#This Row],[tamanho]]=$I$5,$L$5,IF(Tabla1[[#This Row],[tamanho]]=$I$6,$L$6,0))))*IF(C143="8_1",9,25))</f>
        <v>1.028601537160807E-6</v>
      </c>
    </row>
    <row r="144" spans="1:6" ht="12.75" x14ac:dyDescent="0.2">
      <c r="A144" s="1">
        <v>5</v>
      </c>
      <c r="B144" s="1">
        <v>4</v>
      </c>
      <c r="C144" s="1" t="s">
        <v>7</v>
      </c>
      <c r="D144" s="1" t="s">
        <v>9</v>
      </c>
      <c r="E144" s="1">
        <v>7.6393558979034397</v>
      </c>
      <c r="F144" s="1">
        <f>Tabla1[[#This Row],[tiempo]]/(IF(Tabla1[[#This Row],[tamanho]]=$I$3,$L$3,IF(Tabla1[[#This Row],[tamanho]]=$I$4,$L$4,IF(Tabla1[[#This Row],[tamanho]]=$I$5,$L$5,IF(Tabla1[[#This Row],[tamanho]]=$I$6,$L$6,0))))*IF(C144="8_1",9,25))</f>
        <v>4.1529354448967668E-7</v>
      </c>
    </row>
    <row r="145" spans="1:6" ht="12.75" x14ac:dyDescent="0.2">
      <c r="A145" s="1">
        <v>5</v>
      </c>
      <c r="B145" s="1">
        <v>4</v>
      </c>
      <c r="C145" s="1" t="s">
        <v>8</v>
      </c>
      <c r="D145" s="1" t="s">
        <v>9</v>
      </c>
      <c r="E145" s="1">
        <v>7.7387511730194003</v>
      </c>
      <c r="F145" s="1">
        <f>Tabla1[[#This Row],[tiempo]]/(IF(Tabla1[[#This Row],[tamanho]]=$I$3,$L$3,IF(Tabla1[[#This Row],[tamanho]]=$I$4,$L$4,IF(Tabla1[[#This Row],[tamanho]]=$I$5,$L$5,IF(Tabla1[[#This Row],[tamanho]]=$I$6,$L$6,0))))*IF(C145="8_1",9,25))</f>
        <v>4.2069690789623853E-7</v>
      </c>
    </row>
    <row r="146" spans="1:6" ht="12.75" x14ac:dyDescent="0.2">
      <c r="A146" s="1">
        <v>6</v>
      </c>
      <c r="B146" s="1">
        <v>1</v>
      </c>
      <c r="C146" s="1" t="s">
        <v>5</v>
      </c>
      <c r="D146" s="1" t="s">
        <v>6</v>
      </c>
      <c r="E146" s="1">
        <v>0.40584564208984297</v>
      </c>
      <c r="F146" s="1">
        <f>Tabla1[[#This Row],[tiempo]]/(IF(Tabla1[[#This Row],[tamanho]]=$I$3,$L$3,IF(Tabla1[[#This Row],[tamanho]]=$I$4,$L$4,IF(Tabla1[[#This Row],[tamanho]]=$I$5,$L$5,IF(Tabla1[[#This Row],[tamanho]]=$I$6,$L$6,0))))*IF(C146="8_1",9,25))</f>
        <v>1.6725625990209849E-6</v>
      </c>
    </row>
    <row r="147" spans="1:6" ht="12.75" x14ac:dyDescent="0.2">
      <c r="A147" s="1">
        <v>6</v>
      </c>
      <c r="B147" s="1">
        <v>1</v>
      </c>
      <c r="C147" s="1" t="s">
        <v>7</v>
      </c>
      <c r="D147" s="1" t="s">
        <v>6</v>
      </c>
      <c r="E147" s="1">
        <v>0.45346331596374501</v>
      </c>
      <c r="F147" s="1">
        <f>Tabla1[[#This Row],[tiempo]]/(IF(Tabla1[[#This Row],[tamanho]]=$I$3,$L$3,IF(Tabla1[[#This Row],[tamanho]]=$I$4,$L$4,IF(Tabla1[[#This Row],[tamanho]]=$I$5,$L$5,IF(Tabla1[[#This Row],[tamanho]]=$I$6,$L$6,0))))*IF(C147="8_1",9,25))</f>
        <v>6.7276928298467421E-7</v>
      </c>
    </row>
    <row r="148" spans="1:6" ht="12.75" x14ac:dyDescent="0.2">
      <c r="A148" s="1">
        <v>6</v>
      </c>
      <c r="B148" s="1">
        <v>1</v>
      </c>
      <c r="C148" s="1" t="s">
        <v>8</v>
      </c>
      <c r="D148" s="1" t="s">
        <v>6</v>
      </c>
      <c r="E148" s="1">
        <v>0.47212743759155201</v>
      </c>
      <c r="F148" s="1">
        <f>Tabla1[[#This Row],[tiempo]]/(IF(Tabla1[[#This Row],[tamanho]]=$I$3,$L$3,IF(Tabla1[[#This Row],[tamanho]]=$I$4,$L$4,IF(Tabla1[[#This Row],[tamanho]]=$I$5,$L$5,IF(Tabla1[[#This Row],[tamanho]]=$I$6,$L$6,0))))*IF(C148="8_1",9,25))</f>
        <v>7.0045983100263637E-7</v>
      </c>
    </row>
    <row r="149" spans="1:6" ht="12.75" x14ac:dyDescent="0.2">
      <c r="A149" s="1">
        <v>6</v>
      </c>
      <c r="B149" s="1">
        <v>1</v>
      </c>
      <c r="C149" s="1" t="s">
        <v>5</v>
      </c>
      <c r="D149" s="1" t="s">
        <v>9</v>
      </c>
      <c r="E149" s="1">
        <v>0.411486625671386</v>
      </c>
      <c r="F149" s="1">
        <f>Tabla1[[#This Row],[tiempo]]/(IF(Tabla1[[#This Row],[tamanho]]=$I$3,$L$3,IF(Tabla1[[#This Row],[tamanho]]=$I$4,$L$4,IF(Tabla1[[#This Row],[tamanho]]=$I$5,$L$5,IF(Tabla1[[#This Row],[tamanho]]=$I$6,$L$6,0))))*IF(C149="8_1",9,25))</f>
        <v>1.6958101029527672E-6</v>
      </c>
    </row>
    <row r="150" spans="1:6" ht="12.75" x14ac:dyDescent="0.2">
      <c r="A150" s="1">
        <v>6</v>
      </c>
      <c r="B150" s="1">
        <v>1</v>
      </c>
      <c r="C150" s="1" t="s">
        <v>7</v>
      </c>
      <c r="D150" s="1" t="s">
        <v>9</v>
      </c>
      <c r="E150" s="1">
        <v>0.45219111442565901</v>
      </c>
      <c r="F150" s="1">
        <f>Tabla1[[#This Row],[tiempo]]/(IF(Tabla1[[#This Row],[tamanho]]=$I$3,$L$3,IF(Tabla1[[#This Row],[tamanho]]=$I$4,$L$4,IF(Tabla1[[#This Row],[tamanho]]=$I$5,$L$5,IF(Tabla1[[#This Row],[tamanho]]=$I$6,$L$6,0))))*IF(C150="8_1",9,25))</f>
        <v>6.7088181362065058E-7</v>
      </c>
    </row>
    <row r="151" spans="1:6" ht="12.75" x14ac:dyDescent="0.2">
      <c r="A151" s="1">
        <v>6</v>
      </c>
      <c r="B151" s="1">
        <v>1</v>
      </c>
      <c r="C151" s="1" t="s">
        <v>8</v>
      </c>
      <c r="D151" s="1" t="s">
        <v>9</v>
      </c>
      <c r="E151" s="1">
        <v>0.45711517333984297</v>
      </c>
      <c r="F151" s="1">
        <f>Tabla1[[#This Row],[tiempo]]/(IF(Tabla1[[#This Row],[tamanho]]=$I$3,$L$3,IF(Tabla1[[#This Row],[tamanho]]=$I$4,$L$4,IF(Tabla1[[#This Row],[tamanho]]=$I$5,$L$5,IF(Tabla1[[#This Row],[tamanho]]=$I$6,$L$6,0))))*IF(C151="8_1",9,25))</f>
        <v>6.7818726803878638E-7</v>
      </c>
    </row>
    <row r="152" spans="1:6" ht="12.75" x14ac:dyDescent="0.2">
      <c r="A152" s="1">
        <v>6</v>
      </c>
      <c r="B152" s="1">
        <v>2</v>
      </c>
      <c r="C152" s="1" t="s">
        <v>5</v>
      </c>
      <c r="D152" s="1" t="s">
        <v>6</v>
      </c>
      <c r="E152" s="1">
        <v>1.6631374359130799</v>
      </c>
      <c r="F152" s="1">
        <f>Tabla1[[#This Row],[tiempo]]/(IF(Tabla1[[#This Row],[tamanho]]=$I$3,$L$3,IF(Tabla1[[#This Row],[tamanho]]=$I$4,$L$4,IF(Tabla1[[#This Row],[tamanho]]=$I$5,$L$5,IF(Tabla1[[#This Row],[tamanho]]=$I$6,$L$6,0))))*IF(C152="8_1",9,25))</f>
        <v>1.0069258641186706E-6</v>
      </c>
    </row>
    <row r="153" spans="1:6" ht="12.75" x14ac:dyDescent="0.2">
      <c r="A153" s="1">
        <v>6</v>
      </c>
      <c r="B153" s="1">
        <v>2</v>
      </c>
      <c r="C153" s="1" t="s">
        <v>7</v>
      </c>
      <c r="D153" s="1" t="s">
        <v>6</v>
      </c>
      <c r="E153" s="1">
        <v>1.9260334968566799</v>
      </c>
      <c r="F153" s="1">
        <f>Tabla1[[#This Row],[tiempo]]/(IF(Tabla1[[#This Row],[tamanho]]=$I$3,$L$3,IF(Tabla1[[#This Row],[tamanho]]=$I$4,$L$4,IF(Tabla1[[#This Row],[tamanho]]=$I$5,$L$5,IF(Tabla1[[#This Row],[tamanho]]=$I$6,$L$6,0))))*IF(C153="8_1",9,25))</f>
        <v>4.197934845646146E-7</v>
      </c>
    </row>
    <row r="154" spans="1:6" ht="12.75" x14ac:dyDescent="0.2">
      <c r="A154" s="1">
        <v>6</v>
      </c>
      <c r="B154" s="1">
        <v>2</v>
      </c>
      <c r="C154" s="1" t="s">
        <v>8</v>
      </c>
      <c r="D154" s="1" t="s">
        <v>6</v>
      </c>
      <c r="E154" s="1">
        <v>1.86933374404907</v>
      </c>
      <c r="F154" s="1">
        <f>Tabla1[[#This Row],[tiempo]]/(IF(Tabla1[[#This Row],[tamanho]]=$I$3,$L$3,IF(Tabla1[[#This Row],[tamanho]]=$I$4,$L$4,IF(Tabla1[[#This Row],[tamanho]]=$I$5,$L$5,IF(Tabla1[[#This Row],[tamanho]]=$I$6,$L$6,0))))*IF(C154="8_1",9,25))</f>
        <v>4.0743534705355653E-7</v>
      </c>
    </row>
    <row r="155" spans="1:6" ht="12.75" x14ac:dyDescent="0.2">
      <c r="A155" s="1">
        <v>6</v>
      </c>
      <c r="B155" s="1">
        <v>2</v>
      </c>
      <c r="C155" s="1" t="s">
        <v>5</v>
      </c>
      <c r="D155" s="1" t="s">
        <v>9</v>
      </c>
      <c r="E155" s="1">
        <v>1.7033541202545099</v>
      </c>
      <c r="F155" s="1">
        <f>Tabla1[[#This Row],[tiempo]]/(IF(Tabla1[[#This Row],[tamanho]]=$I$3,$L$3,IF(Tabla1[[#This Row],[tamanho]]=$I$4,$L$4,IF(Tabla1[[#This Row],[tamanho]]=$I$5,$L$5,IF(Tabla1[[#This Row],[tamanho]]=$I$6,$L$6,0))))*IF(C155="8_1",9,25))</f>
        <v>1.0312745551877583E-6</v>
      </c>
    </row>
    <row r="156" spans="1:6" ht="12.75" x14ac:dyDescent="0.2">
      <c r="A156" s="1">
        <v>6</v>
      </c>
      <c r="B156" s="1">
        <v>2</v>
      </c>
      <c r="C156" s="1" t="s">
        <v>7</v>
      </c>
      <c r="D156" s="1" t="s">
        <v>9</v>
      </c>
      <c r="E156" s="1">
        <v>1.9360704421996999</v>
      </c>
      <c r="F156" s="1">
        <f>Tabla1[[#This Row],[tiempo]]/(IF(Tabla1[[#This Row],[tamanho]]=$I$3,$L$3,IF(Tabla1[[#This Row],[tamanho]]=$I$4,$L$4,IF(Tabla1[[#This Row],[tamanho]]=$I$5,$L$5,IF(Tabla1[[#This Row],[tamanho]]=$I$6,$L$6,0))))*IF(C156="8_1",9,25))</f>
        <v>4.2198111228075106E-7</v>
      </c>
    </row>
    <row r="157" spans="1:6" ht="12.75" x14ac:dyDescent="0.2">
      <c r="A157" s="1">
        <v>6</v>
      </c>
      <c r="B157" s="1">
        <v>2</v>
      </c>
      <c r="C157" s="1" t="s">
        <v>8</v>
      </c>
      <c r="D157" s="1" t="s">
        <v>9</v>
      </c>
      <c r="E157" s="1">
        <v>1.9015076160430899</v>
      </c>
      <c r="F157" s="1">
        <f>Tabla1[[#This Row],[tiempo]]/(IF(Tabla1[[#This Row],[tamanho]]=$I$3,$L$3,IF(Tabla1[[#This Row],[tamanho]]=$I$4,$L$4,IF(Tabla1[[#This Row],[tamanho]]=$I$5,$L$5,IF(Tabla1[[#This Row],[tamanho]]=$I$6,$L$6,0))))*IF(C157="8_1",9,25))</f>
        <v>4.1444788440472315E-7</v>
      </c>
    </row>
    <row r="158" spans="1:6" ht="12.75" x14ac:dyDescent="0.2">
      <c r="A158" s="1">
        <v>6</v>
      </c>
      <c r="B158" s="1">
        <v>3</v>
      </c>
      <c r="C158" s="1" t="s">
        <v>5</v>
      </c>
      <c r="D158" s="1" t="s">
        <v>6</v>
      </c>
      <c r="E158" s="1">
        <v>3.8483200073242099</v>
      </c>
      <c r="F158" s="1">
        <f>Tabla1[[#This Row],[tiempo]]/(IF(Tabla1[[#This Row],[tamanho]]=$I$3,$L$3,IF(Tabla1[[#This Row],[tamanho]]=$I$4,$L$4,IF(Tabla1[[#This Row],[tamanho]]=$I$5,$L$5,IF(Tabla1[[#This Row],[tamanho]]=$I$6,$L$6,0))))*IF(C158="8_1",9,25))</f>
        <v>1.0346957237452897E-6</v>
      </c>
    </row>
    <row r="159" spans="1:6" ht="12.75" x14ac:dyDescent="0.2">
      <c r="A159" s="1">
        <v>6</v>
      </c>
      <c r="B159" s="1">
        <v>3</v>
      </c>
      <c r="C159" s="1" t="s">
        <v>7</v>
      </c>
      <c r="D159" s="1" t="s">
        <v>6</v>
      </c>
      <c r="E159" s="1">
        <v>4.2940587997436497</v>
      </c>
      <c r="F159" s="1">
        <f>Tabla1[[#This Row],[tiempo]]/(IF(Tabla1[[#This Row],[tamanho]]=$I$3,$L$3,IF(Tabla1[[#This Row],[tamanho]]=$I$4,$L$4,IF(Tabla1[[#This Row],[tamanho]]=$I$5,$L$5,IF(Tabla1[[#This Row],[tamanho]]=$I$6,$L$6,0))))*IF(C159="8_1",9,25))</f>
        <v>4.156348580403433E-7</v>
      </c>
    </row>
    <row r="160" spans="1:6" ht="12.75" x14ac:dyDescent="0.2">
      <c r="A160" s="1">
        <v>6</v>
      </c>
      <c r="B160" s="1">
        <v>3</v>
      </c>
      <c r="C160" s="1" t="s">
        <v>8</v>
      </c>
      <c r="D160" s="1" t="s">
        <v>6</v>
      </c>
      <c r="E160" s="1">
        <v>4.30659580230712</v>
      </c>
      <c r="F160" s="1">
        <f>Tabla1[[#This Row],[tiempo]]/(IF(Tabla1[[#This Row],[tamanho]]=$I$3,$L$3,IF(Tabla1[[#This Row],[tamanho]]=$I$4,$L$4,IF(Tabla1[[#This Row],[tamanho]]=$I$5,$L$5,IF(Tabla1[[#This Row],[tamanho]]=$I$6,$L$6,0))))*IF(C160="8_1",9,25))</f>
        <v>4.1684835220139916E-7</v>
      </c>
    </row>
    <row r="161" spans="1:6" ht="12.75" x14ac:dyDescent="0.2">
      <c r="A161" s="1">
        <v>6</v>
      </c>
      <c r="B161" s="1">
        <v>3</v>
      </c>
      <c r="C161" s="1" t="s">
        <v>5</v>
      </c>
      <c r="D161" s="1" t="s">
        <v>9</v>
      </c>
      <c r="E161" s="1">
        <v>3.9654653072357098</v>
      </c>
      <c r="F161" s="1">
        <f>Tabla1[[#This Row],[tiempo]]/(IF(Tabla1[[#This Row],[tamanho]]=$I$3,$L$3,IF(Tabla1[[#This Row],[tamanho]]=$I$4,$L$4,IF(Tabla1[[#This Row],[tamanho]]=$I$5,$L$5,IF(Tabla1[[#This Row],[tamanho]]=$I$6,$L$6,0))))*IF(C161="8_1",9,25))</f>
        <v>1.066192517318745E-6</v>
      </c>
    </row>
    <row r="162" spans="1:6" ht="12.75" x14ac:dyDescent="0.2">
      <c r="A162" s="1">
        <v>6</v>
      </c>
      <c r="B162" s="1">
        <v>3</v>
      </c>
      <c r="C162" s="1" t="s">
        <v>7</v>
      </c>
      <c r="D162" s="1" t="s">
        <v>9</v>
      </c>
      <c r="E162" s="1">
        <v>4.2893354892730704</v>
      </c>
      <c r="F162" s="1">
        <f>Tabla1[[#This Row],[tiempo]]/(IF(Tabla1[[#This Row],[tamanho]]=$I$3,$L$3,IF(Tabla1[[#This Row],[tamanho]]=$I$4,$L$4,IF(Tabla1[[#This Row],[tamanho]]=$I$5,$L$5,IF(Tabla1[[#This Row],[tamanho]]=$I$6,$L$6,0))))*IF(C162="8_1",9,25))</f>
        <v>4.1517767462286496E-7</v>
      </c>
    </row>
    <row r="163" spans="1:6" ht="12.75" x14ac:dyDescent="0.2">
      <c r="A163" s="1">
        <v>6</v>
      </c>
      <c r="B163" s="1">
        <v>3</v>
      </c>
      <c r="C163" s="1" t="s">
        <v>8</v>
      </c>
      <c r="D163" s="1" t="s">
        <v>9</v>
      </c>
      <c r="E163" s="1">
        <v>4.3366999626159597</v>
      </c>
      <c r="F163" s="1">
        <f>Tabla1[[#This Row],[tiempo]]/(IF(Tabla1[[#This Row],[tamanho]]=$I$3,$L$3,IF(Tabla1[[#This Row],[tamanho]]=$I$4,$L$4,IF(Tabla1[[#This Row],[tamanho]]=$I$5,$L$5,IF(Tabla1[[#This Row],[tamanho]]=$I$6,$L$6,0))))*IF(C163="8_1",9,25))</f>
        <v>4.1976222436289244E-7</v>
      </c>
    </row>
    <row r="164" spans="1:6" ht="12.75" x14ac:dyDescent="0.2">
      <c r="A164" s="1">
        <v>6</v>
      </c>
      <c r="B164" s="1">
        <v>4</v>
      </c>
      <c r="C164" s="1" t="s">
        <v>5</v>
      </c>
      <c r="D164" s="1" t="s">
        <v>6</v>
      </c>
      <c r="E164" s="1">
        <v>6.8219356536865199</v>
      </c>
      <c r="F164" s="1">
        <f>Tabla1[[#This Row],[tiempo]]/(IF(Tabla1[[#This Row],[tamanho]]=$I$3,$L$3,IF(Tabla1[[#This Row],[tamanho]]=$I$4,$L$4,IF(Tabla1[[#This Row],[tamanho]]=$I$5,$L$5,IF(Tabla1[[#This Row],[tamanho]]=$I$6,$L$6,0))))*IF(C164="8_1",9,25))</f>
        <v>1.0301573252753975E-6</v>
      </c>
    </row>
    <row r="165" spans="1:6" ht="12.75" x14ac:dyDescent="0.2">
      <c r="A165" s="1">
        <v>6</v>
      </c>
      <c r="B165" s="1">
        <v>4</v>
      </c>
      <c r="C165" s="1" t="s">
        <v>7</v>
      </c>
      <c r="D165" s="1" t="s">
        <v>6</v>
      </c>
      <c r="E165" s="1">
        <v>7.6547338962554896</v>
      </c>
      <c r="F165" s="1">
        <f>Tabla1[[#This Row],[tiempo]]/(IF(Tabla1[[#This Row],[tamanho]]=$I$3,$L$3,IF(Tabla1[[#This Row],[tamanho]]=$I$4,$L$4,IF(Tabla1[[#This Row],[tamanho]]=$I$5,$L$5,IF(Tabla1[[#This Row],[tamanho]]=$I$6,$L$6,0))))*IF(C165="8_1",9,25))</f>
        <v>4.1612952903184626E-7</v>
      </c>
    </row>
    <row r="166" spans="1:6" ht="12.75" x14ac:dyDescent="0.2">
      <c r="A166" s="1">
        <v>6</v>
      </c>
      <c r="B166" s="1">
        <v>4</v>
      </c>
      <c r="C166" s="1" t="s">
        <v>8</v>
      </c>
      <c r="D166" s="1" t="s">
        <v>6</v>
      </c>
      <c r="E166" s="1">
        <v>7.6447947025299001</v>
      </c>
      <c r="F166" s="1">
        <f>Tabla1[[#This Row],[tiempo]]/(IF(Tabla1[[#This Row],[tamanho]]=$I$3,$L$3,IF(Tabla1[[#This Row],[tamanho]]=$I$4,$L$4,IF(Tabla1[[#This Row],[tamanho]]=$I$5,$L$5,IF(Tabla1[[#This Row],[tamanho]]=$I$6,$L$6,0))))*IF(C166="8_1",9,25))</f>
        <v>4.155892108365908E-7</v>
      </c>
    </row>
    <row r="167" spans="1:6" ht="12.75" x14ac:dyDescent="0.2">
      <c r="A167" s="1">
        <v>6</v>
      </c>
      <c r="B167" s="1">
        <v>4</v>
      </c>
      <c r="C167" s="1" t="s">
        <v>5</v>
      </c>
      <c r="D167" s="1" t="s">
        <v>9</v>
      </c>
      <c r="E167" s="1">
        <v>6.8430123329162598</v>
      </c>
      <c r="F167" s="1">
        <f>Tabla1[[#This Row],[tiempo]]/(IF(Tabla1[[#This Row],[tamanho]]=$I$3,$L$3,IF(Tabla1[[#This Row],[tamanho]]=$I$4,$L$4,IF(Tabla1[[#This Row],[tamanho]]=$I$5,$L$5,IF(Tabla1[[#This Row],[tamanho]]=$I$6,$L$6,0))))*IF(C167="8_1",9,25))</f>
        <v>1.0333400429970551E-6</v>
      </c>
    </row>
    <row r="168" spans="1:6" ht="12.75" x14ac:dyDescent="0.2">
      <c r="A168" s="1">
        <v>6</v>
      </c>
      <c r="B168" s="1">
        <v>4</v>
      </c>
      <c r="C168" s="1" t="s">
        <v>7</v>
      </c>
      <c r="D168" s="1" t="s">
        <v>9</v>
      </c>
      <c r="E168" s="1">
        <v>7.6178109645843497</v>
      </c>
      <c r="F168" s="1">
        <f>Tabla1[[#This Row],[tiempo]]/(IF(Tabla1[[#This Row],[tamanho]]=$I$3,$L$3,IF(Tabla1[[#This Row],[tamanho]]=$I$4,$L$4,IF(Tabla1[[#This Row],[tamanho]]=$I$5,$L$5,IF(Tabla1[[#This Row],[tamanho]]=$I$6,$L$6,0))))*IF(C168="8_1",9,25))</f>
        <v>4.1412231070459617E-7</v>
      </c>
    </row>
    <row r="169" spans="1:6" ht="12.75" x14ac:dyDescent="0.2">
      <c r="A169" s="1">
        <v>6</v>
      </c>
      <c r="B169" s="1">
        <v>4</v>
      </c>
      <c r="C169" s="1" t="s">
        <v>8</v>
      </c>
      <c r="D169" s="1" t="s">
        <v>9</v>
      </c>
      <c r="E169" s="1">
        <v>7.7230148315429599</v>
      </c>
      <c r="F169" s="1">
        <f>Tabla1[[#This Row],[tiempo]]/(IF(Tabla1[[#This Row],[tamanho]]=$I$3,$L$3,IF(Tabla1[[#This Row],[tamanho]]=$I$4,$L$4,IF(Tabla1[[#This Row],[tamanho]]=$I$5,$L$5,IF(Tabla1[[#This Row],[tamanho]]=$I$6,$L$6,0))))*IF(C169="8_1",9,25))</f>
        <v>4.1984144297008626E-7</v>
      </c>
    </row>
    <row r="170" spans="1:6" ht="12.75" x14ac:dyDescent="0.2">
      <c r="A170" s="1">
        <v>7</v>
      </c>
      <c r="B170" s="1">
        <v>1</v>
      </c>
      <c r="C170" s="1" t="s">
        <v>5</v>
      </c>
      <c r="D170" s="1" t="s">
        <v>6</v>
      </c>
      <c r="E170" s="1">
        <v>0.40838503837585399</v>
      </c>
      <c r="F170" s="1">
        <f>Tabla1[[#This Row],[tiempo]]/(IF(Tabla1[[#This Row],[tamanho]]=$I$3,$L$3,IF(Tabla1[[#This Row],[tamanho]]=$I$4,$L$4,IF(Tabla1[[#This Row],[tamanho]]=$I$5,$L$5,IF(Tabla1[[#This Row],[tamanho]]=$I$6,$L$6,0))))*IF(C170="8_1",9,25))</f>
        <v>1.6830279060529982E-6</v>
      </c>
    </row>
    <row r="171" spans="1:6" ht="12.75" x14ac:dyDescent="0.2">
      <c r="A171" s="1">
        <v>7</v>
      </c>
      <c r="B171" s="1">
        <v>1</v>
      </c>
      <c r="C171" s="1" t="s">
        <v>7</v>
      </c>
      <c r="D171" s="1" t="s">
        <v>6</v>
      </c>
      <c r="E171" s="1">
        <v>0.45232224464416498</v>
      </c>
      <c r="F171" s="1">
        <f>Tabla1[[#This Row],[tiempo]]/(IF(Tabla1[[#This Row],[tamanho]]=$I$3,$L$3,IF(Tabla1[[#This Row],[tamanho]]=$I$4,$L$4,IF(Tabla1[[#This Row],[tamanho]]=$I$5,$L$5,IF(Tabla1[[#This Row],[tamanho]]=$I$6,$L$6,0))))*IF(C171="8_1",9,25))</f>
        <v>6.7107636162481357E-7</v>
      </c>
    </row>
    <row r="172" spans="1:6" ht="12.75" x14ac:dyDescent="0.2">
      <c r="A172" s="1">
        <v>7</v>
      </c>
      <c r="B172" s="1">
        <v>1</v>
      </c>
      <c r="C172" s="1" t="s">
        <v>8</v>
      </c>
      <c r="D172" s="1" t="s">
        <v>6</v>
      </c>
      <c r="E172" s="1">
        <v>0.45945644378662098</v>
      </c>
      <c r="F172" s="1">
        <f>Tabla1[[#This Row],[tiempo]]/(IF(Tabla1[[#This Row],[tamanho]]=$I$3,$L$3,IF(Tabla1[[#This Row],[tamanho]]=$I$4,$L$4,IF(Tabla1[[#This Row],[tamanho]]=$I$5,$L$5,IF(Tabla1[[#This Row],[tamanho]]=$I$6,$L$6,0))))*IF(C172="8_1",9,25))</f>
        <v>6.8166083422220394E-7</v>
      </c>
    </row>
    <row r="173" spans="1:6" ht="12.75" x14ac:dyDescent="0.2">
      <c r="A173" s="1">
        <v>7</v>
      </c>
      <c r="B173" s="1">
        <v>1</v>
      </c>
      <c r="C173" s="1" t="s">
        <v>5</v>
      </c>
      <c r="D173" s="1" t="s">
        <v>9</v>
      </c>
      <c r="E173" s="1">
        <v>0.40441465377807601</v>
      </c>
      <c r="F173" s="1">
        <f>Tabla1[[#This Row],[tiempo]]/(IF(Tabla1[[#This Row],[tamanho]]=$I$3,$L$3,IF(Tabla1[[#This Row],[tamanho]]=$I$4,$L$4,IF(Tabla1[[#This Row],[tamanho]]=$I$5,$L$5,IF(Tabla1[[#This Row],[tamanho]]=$I$6,$L$6,0))))*IF(C173="8_1",9,25))</f>
        <v>1.6666652398240916E-6</v>
      </c>
    </row>
    <row r="174" spans="1:6" ht="12.75" x14ac:dyDescent="0.2">
      <c r="A174" s="1">
        <v>7</v>
      </c>
      <c r="B174" s="1">
        <v>1</v>
      </c>
      <c r="C174" s="1" t="s">
        <v>7</v>
      </c>
      <c r="D174" s="1" t="s">
        <v>9</v>
      </c>
      <c r="E174" s="1">
        <v>0.45567131042480402</v>
      </c>
      <c r="F174" s="1">
        <f>Tabla1[[#This Row],[tiempo]]/(IF(Tabla1[[#This Row],[tamanho]]=$I$3,$L$3,IF(Tabla1[[#This Row],[tamanho]]=$I$4,$L$4,IF(Tabla1[[#This Row],[tamanho]]=$I$5,$L$5,IF(Tabla1[[#This Row],[tamanho]]=$I$6,$L$6,0))))*IF(C174="8_1",9,25))</f>
        <v>6.7604511765113163E-7</v>
      </c>
    </row>
    <row r="175" spans="1:6" ht="12.75" x14ac:dyDescent="0.2">
      <c r="A175" s="1">
        <v>7</v>
      </c>
      <c r="B175" s="1">
        <v>1</v>
      </c>
      <c r="C175" s="1" t="s">
        <v>8</v>
      </c>
      <c r="D175" s="1" t="s">
        <v>9</v>
      </c>
      <c r="E175" s="1">
        <v>0.459486484527587</v>
      </c>
      <c r="F175" s="1">
        <f>Tabla1[[#This Row],[tiempo]]/(IF(Tabla1[[#This Row],[tamanho]]=$I$3,$L$3,IF(Tabla1[[#This Row],[tamanho]]=$I$4,$L$4,IF(Tabla1[[#This Row],[tamanho]]=$I$5,$L$5,IF(Tabla1[[#This Row],[tamanho]]=$I$6,$L$6,0))))*IF(C175="8_1",9,25))</f>
        <v>6.8170540340133827E-7</v>
      </c>
    </row>
    <row r="176" spans="1:6" ht="12.75" x14ac:dyDescent="0.2">
      <c r="A176" s="1">
        <v>7</v>
      </c>
      <c r="B176" s="1">
        <v>2</v>
      </c>
      <c r="C176" s="1" t="s">
        <v>5</v>
      </c>
      <c r="D176" s="1" t="s">
        <v>6</v>
      </c>
      <c r="E176" s="1">
        <v>1.68829870223999</v>
      </c>
      <c r="F176" s="1">
        <f>Tabla1[[#This Row],[tiempo]]/(IF(Tabla1[[#This Row],[tamanho]]=$I$3,$L$3,IF(Tabla1[[#This Row],[tamanho]]=$I$4,$L$4,IF(Tabla1[[#This Row],[tamanho]]=$I$5,$L$5,IF(Tabla1[[#This Row],[tamanho]]=$I$6,$L$6,0))))*IF(C176="8_1",9,25))</f>
        <v>1.0221594397038624E-6</v>
      </c>
    </row>
    <row r="177" spans="1:6" ht="12.75" x14ac:dyDescent="0.2">
      <c r="A177" s="1">
        <v>7</v>
      </c>
      <c r="B177" s="1">
        <v>2</v>
      </c>
      <c r="C177" s="1" t="s">
        <v>7</v>
      </c>
      <c r="D177" s="1" t="s">
        <v>6</v>
      </c>
      <c r="E177" s="1">
        <v>1.8984622955322199</v>
      </c>
      <c r="F177" s="1">
        <f>Tabla1[[#This Row],[tiempo]]/(IF(Tabla1[[#This Row],[tamanho]]=$I$3,$L$3,IF(Tabla1[[#This Row],[tamanho]]=$I$4,$L$4,IF(Tabla1[[#This Row],[tamanho]]=$I$5,$L$5,IF(Tabla1[[#This Row],[tamanho]]=$I$6,$L$6,0))))*IF(C177="8_1",9,25))</f>
        <v>4.1378413389832715E-7</v>
      </c>
    </row>
    <row r="178" spans="1:6" ht="12.75" x14ac:dyDescent="0.2">
      <c r="A178" s="1">
        <v>7</v>
      </c>
      <c r="B178" s="1">
        <v>2</v>
      </c>
      <c r="C178" s="1" t="s">
        <v>8</v>
      </c>
      <c r="D178" s="1" t="s">
        <v>6</v>
      </c>
      <c r="E178" s="1">
        <v>1.8881373405456501</v>
      </c>
      <c r="F178" s="1">
        <f>Tabla1[[#This Row],[tiempo]]/(IF(Tabla1[[#This Row],[tamanho]]=$I$3,$L$3,IF(Tabla1[[#This Row],[tamanho]]=$I$4,$L$4,IF(Tabla1[[#This Row],[tamanho]]=$I$5,$L$5,IF(Tabla1[[#This Row],[tamanho]]=$I$6,$L$6,0))))*IF(C178="8_1",9,25))</f>
        <v>4.1153373231452363E-7</v>
      </c>
    </row>
    <row r="179" spans="1:6" ht="12.75" x14ac:dyDescent="0.2">
      <c r="A179" s="1">
        <v>7</v>
      </c>
      <c r="B179" s="1">
        <v>2</v>
      </c>
      <c r="C179" s="1" t="s">
        <v>5</v>
      </c>
      <c r="D179" s="1" t="s">
        <v>9</v>
      </c>
      <c r="E179" s="1">
        <v>1.6744091510772701</v>
      </c>
      <c r="F179" s="1">
        <f>Tabla1[[#This Row],[tiempo]]/(IF(Tabla1[[#This Row],[tamanho]]=$I$3,$L$3,IF(Tabla1[[#This Row],[tamanho]]=$I$4,$L$4,IF(Tabla1[[#This Row],[tamanho]]=$I$5,$L$5,IF(Tabla1[[#This Row],[tamanho]]=$I$6,$L$6,0))))*IF(C179="8_1",9,25))</f>
        <v>1.0137501837970804E-6</v>
      </c>
    </row>
    <row r="180" spans="1:6" ht="12.75" x14ac:dyDescent="0.2">
      <c r="A180" s="1">
        <v>7</v>
      </c>
      <c r="B180" s="1">
        <v>2</v>
      </c>
      <c r="C180" s="1" t="s">
        <v>7</v>
      </c>
      <c r="D180" s="1" t="s">
        <v>9</v>
      </c>
      <c r="E180" s="1">
        <v>1.8701746463775599</v>
      </c>
      <c r="F180" s="1">
        <f>Tabla1[[#This Row],[tiempo]]/(IF(Tabla1[[#This Row],[tamanho]]=$I$3,$L$3,IF(Tabla1[[#This Row],[tamanho]]=$I$4,$L$4,IF(Tabla1[[#This Row],[tamanho]]=$I$5,$L$5,IF(Tabla1[[#This Row],[tamanho]]=$I$6,$L$6,0))))*IF(C180="8_1",9,25))</f>
        <v>4.0761862803970313E-7</v>
      </c>
    </row>
    <row r="181" spans="1:6" ht="12.75" x14ac:dyDescent="0.2">
      <c r="A181" s="1">
        <v>7</v>
      </c>
      <c r="B181" s="1">
        <v>2</v>
      </c>
      <c r="C181" s="1" t="s">
        <v>8</v>
      </c>
      <c r="D181" s="1" t="s">
        <v>9</v>
      </c>
      <c r="E181" s="1">
        <v>1.8995168209075901</v>
      </c>
      <c r="F181" s="1">
        <f>Tabla1[[#This Row],[tiempo]]/(IF(Tabla1[[#This Row],[tamanho]]=$I$3,$L$3,IF(Tabla1[[#This Row],[tamanho]]=$I$4,$L$4,IF(Tabla1[[#This Row],[tamanho]]=$I$5,$L$5,IF(Tabla1[[#This Row],[tamanho]]=$I$6,$L$6,0))))*IF(C181="8_1",9,25))</f>
        <v>4.1401397563400358E-7</v>
      </c>
    </row>
    <row r="182" spans="1:6" ht="12.75" x14ac:dyDescent="0.2">
      <c r="A182" s="1">
        <v>7</v>
      </c>
      <c r="B182" s="1">
        <v>3</v>
      </c>
      <c r="C182" s="1" t="s">
        <v>5</v>
      </c>
      <c r="D182" s="1" t="s">
        <v>6</v>
      </c>
      <c r="E182" s="1">
        <v>3.8024592399597101</v>
      </c>
      <c r="F182" s="1">
        <f>Tabla1[[#This Row],[tiempo]]/(IF(Tabla1[[#This Row],[tamanho]]=$I$3,$L$3,IF(Tabla1[[#This Row],[tamanho]]=$I$4,$L$4,IF(Tabla1[[#This Row],[tamanho]]=$I$5,$L$5,IF(Tabla1[[#This Row],[tamanho]]=$I$6,$L$6,0))))*IF(C182="8_1",9,25))</f>
        <v>1.0223651639713068E-6</v>
      </c>
    </row>
    <row r="183" spans="1:6" ht="12.75" x14ac:dyDescent="0.2">
      <c r="A183" s="1">
        <v>7</v>
      </c>
      <c r="B183" s="1">
        <v>3</v>
      </c>
      <c r="C183" s="1" t="s">
        <v>7</v>
      </c>
      <c r="D183" s="1" t="s">
        <v>6</v>
      </c>
      <c r="E183" s="1">
        <v>4.2798864841461102</v>
      </c>
      <c r="F183" s="1">
        <f>Tabla1[[#This Row],[tiempo]]/(IF(Tabla1[[#This Row],[tamanho]]=$I$3,$L$3,IF(Tabla1[[#This Row],[tamanho]]=$I$4,$L$4,IF(Tabla1[[#This Row],[tamanho]]=$I$5,$L$5,IF(Tabla1[[#This Row],[tamanho]]=$I$6,$L$6,0))))*IF(C183="8_1",9,25))</f>
        <v>4.1426307701539831E-7</v>
      </c>
    </row>
    <row r="184" spans="1:6" ht="12.75" x14ac:dyDescent="0.2">
      <c r="A184" s="1">
        <v>7</v>
      </c>
      <c r="B184" s="1">
        <v>3</v>
      </c>
      <c r="C184" s="1" t="s">
        <v>8</v>
      </c>
      <c r="D184" s="1" t="s">
        <v>6</v>
      </c>
      <c r="E184" s="1">
        <v>4.3094732761383003</v>
      </c>
      <c r="F184" s="1">
        <f>Tabla1[[#This Row],[tiempo]]/(IF(Tabla1[[#This Row],[tamanho]]=$I$3,$L$3,IF(Tabla1[[#This Row],[tamanho]]=$I$4,$L$4,IF(Tabla1[[#This Row],[tamanho]]=$I$5,$L$5,IF(Tabla1[[#This Row],[tamanho]]=$I$6,$L$6,0))))*IF(C184="8_1",9,25))</f>
        <v>4.1712687154244981E-7</v>
      </c>
    </row>
    <row r="185" spans="1:6" ht="12.75" x14ac:dyDescent="0.2">
      <c r="A185" s="1">
        <v>7</v>
      </c>
      <c r="B185" s="1">
        <v>3</v>
      </c>
      <c r="C185" s="1" t="s">
        <v>5</v>
      </c>
      <c r="D185" s="1" t="s">
        <v>9</v>
      </c>
      <c r="E185" s="1">
        <v>3.80572032928466</v>
      </c>
      <c r="F185" s="1">
        <f>Tabla1[[#This Row],[tiempo]]/(IF(Tabla1[[#This Row],[tamanho]]=$I$3,$L$3,IF(Tabla1[[#This Row],[tamanho]]=$I$4,$L$4,IF(Tabla1[[#This Row],[tamanho]]=$I$5,$L$5,IF(Tabla1[[#This Row],[tamanho]]=$I$6,$L$6,0))))*IF(C185="8_1",9,25))</f>
        <v>1.0232419712983626E-6</v>
      </c>
    </row>
    <row r="186" spans="1:6" ht="12.75" x14ac:dyDescent="0.2">
      <c r="A186" s="1">
        <v>7</v>
      </c>
      <c r="B186" s="1">
        <v>3</v>
      </c>
      <c r="C186" s="1" t="s">
        <v>7</v>
      </c>
      <c r="D186" s="1" t="s">
        <v>9</v>
      </c>
      <c r="E186" s="1">
        <v>4.2673935890197701</v>
      </c>
      <c r="F186" s="1">
        <f>Tabla1[[#This Row],[tiempo]]/(IF(Tabla1[[#This Row],[tamanho]]=$I$3,$L$3,IF(Tabla1[[#This Row],[tamanho]]=$I$4,$L$4,IF(Tabla1[[#This Row],[tamanho]]=$I$5,$L$5,IF(Tabla1[[#This Row],[tamanho]]=$I$6,$L$6,0))))*IF(C186="8_1",9,25))</f>
        <v>4.130538521457577E-7</v>
      </c>
    </row>
    <row r="187" spans="1:6" ht="12.75" x14ac:dyDescent="0.2">
      <c r="A187" s="1">
        <v>7</v>
      </c>
      <c r="B187" s="1">
        <v>3</v>
      </c>
      <c r="C187" s="1" t="s">
        <v>8</v>
      </c>
      <c r="D187" s="1" t="s">
        <v>9</v>
      </c>
      <c r="E187" s="1">
        <v>4.31748223304748</v>
      </c>
      <c r="F187" s="1">
        <f>Tabla1[[#This Row],[tiempo]]/(IF(Tabla1[[#This Row],[tamanho]]=$I$3,$L$3,IF(Tabla1[[#This Row],[tamanho]]=$I$4,$L$4,IF(Tabla1[[#This Row],[tamanho]]=$I$5,$L$5,IF(Tabla1[[#This Row],[tamanho]]=$I$6,$L$6,0))))*IF(C187="8_1",9,25))</f>
        <v>4.1790208255451069E-7</v>
      </c>
    </row>
    <row r="188" spans="1:6" ht="12.75" x14ac:dyDescent="0.2">
      <c r="A188" s="1">
        <v>7</v>
      </c>
      <c r="B188" s="1">
        <v>4</v>
      </c>
      <c r="C188" s="1" t="s">
        <v>5</v>
      </c>
      <c r="D188" s="1" t="s">
        <v>6</v>
      </c>
      <c r="E188" s="1">
        <v>6.8151173591613698</v>
      </c>
      <c r="F188" s="1">
        <f>Tabla1[[#This Row],[tiempo]]/(IF(Tabla1[[#This Row],[tamanho]]=$I$3,$L$3,IF(Tabla1[[#This Row],[tamanho]]=$I$4,$L$4,IF(Tabla1[[#This Row],[tamanho]]=$I$5,$L$5,IF(Tabla1[[#This Row],[tamanho]]=$I$6,$L$6,0))))*IF(C188="8_1",9,25))</f>
        <v>1.0291277177845716E-6</v>
      </c>
    </row>
    <row r="189" spans="1:6" ht="12.75" x14ac:dyDescent="0.2">
      <c r="A189" s="1">
        <v>7</v>
      </c>
      <c r="B189" s="1">
        <v>4</v>
      </c>
      <c r="C189" s="1" t="s">
        <v>7</v>
      </c>
      <c r="D189" s="1" t="s">
        <v>6</v>
      </c>
      <c r="E189" s="1">
        <v>7.6468753814697203</v>
      </c>
      <c r="F189" s="1">
        <f>Tabla1[[#This Row],[tiempo]]/(IF(Tabla1[[#This Row],[tamanho]]=$I$3,$L$3,IF(Tabla1[[#This Row],[tamanho]]=$I$4,$L$4,IF(Tabla1[[#This Row],[tamanho]]=$I$5,$L$5,IF(Tabla1[[#This Row],[tamanho]]=$I$6,$L$6,0))))*IF(C189="8_1",9,25))</f>
        <v>4.1570232148929647E-7</v>
      </c>
    </row>
    <row r="190" spans="1:6" ht="12.75" x14ac:dyDescent="0.2">
      <c r="A190" s="1">
        <v>7</v>
      </c>
      <c r="B190" s="1">
        <v>4</v>
      </c>
      <c r="C190" s="1" t="s">
        <v>8</v>
      </c>
      <c r="D190" s="1" t="s">
        <v>6</v>
      </c>
      <c r="E190" s="1">
        <v>7.7395961284637398</v>
      </c>
      <c r="F190" s="1">
        <f>Tabla1[[#This Row],[tiempo]]/(IF(Tabla1[[#This Row],[tamanho]]=$I$3,$L$3,IF(Tabla1[[#This Row],[tamanho]]=$I$4,$L$4,IF(Tabla1[[#This Row],[tamanho]]=$I$5,$L$5,IF(Tabla1[[#This Row],[tamanho]]=$I$6,$L$6,0))))*IF(C190="8_1",9,25))</f>
        <v>4.207428416825558E-7</v>
      </c>
    </row>
    <row r="191" spans="1:6" ht="12.75" x14ac:dyDescent="0.2">
      <c r="A191" s="1">
        <v>7</v>
      </c>
      <c r="B191" s="1">
        <v>4</v>
      </c>
      <c r="C191" s="1" t="s">
        <v>5</v>
      </c>
      <c r="D191" s="1" t="s">
        <v>9</v>
      </c>
      <c r="E191" s="1">
        <v>6.9130725860595703</v>
      </c>
      <c r="F191" s="1">
        <f>Tabla1[[#This Row],[tiempo]]/(IF(Tabla1[[#This Row],[tamanho]]=$I$3,$L$3,IF(Tabla1[[#This Row],[tamanho]]=$I$4,$L$4,IF(Tabla1[[#This Row],[tamanho]]=$I$5,$L$5,IF(Tabla1[[#This Row],[tamanho]]=$I$6,$L$6,0))))*IF(C191="8_1",9,25))</f>
        <v>1.0439196037918317E-6</v>
      </c>
    </row>
    <row r="192" spans="1:6" ht="12.75" x14ac:dyDescent="0.2">
      <c r="A192" s="1">
        <v>7</v>
      </c>
      <c r="B192" s="1">
        <v>4</v>
      </c>
      <c r="C192" s="1" t="s">
        <v>7</v>
      </c>
      <c r="D192" s="1" t="s">
        <v>9</v>
      </c>
      <c r="E192" s="1">
        <v>7.6381289958953804</v>
      </c>
      <c r="F192" s="1">
        <f>Tabla1[[#This Row],[tiempo]]/(IF(Tabla1[[#This Row],[tamanho]]=$I$3,$L$3,IF(Tabla1[[#This Row],[tamanho]]=$I$4,$L$4,IF(Tabla1[[#This Row],[tamanho]]=$I$5,$L$5,IF(Tabla1[[#This Row],[tamanho]]=$I$6,$L$6,0))))*IF(C192="8_1",9,25))</f>
        <v>4.1522684718031213E-7</v>
      </c>
    </row>
    <row r="193" spans="1:6" ht="12.75" x14ac:dyDescent="0.2">
      <c r="A193" s="1">
        <v>7</v>
      </c>
      <c r="B193" s="1">
        <v>4</v>
      </c>
      <c r="C193" s="1" t="s">
        <v>8</v>
      </c>
      <c r="D193" s="1" t="s">
        <v>9</v>
      </c>
      <c r="E193" s="1">
        <v>7.68418288230896</v>
      </c>
      <c r="F193" s="1">
        <f>Tabla1[[#This Row],[tiempo]]/(IF(Tabla1[[#This Row],[tamanho]]=$I$3,$L$3,IF(Tabla1[[#This Row],[tamanho]]=$I$4,$L$4,IF(Tabla1[[#This Row],[tamanho]]=$I$5,$L$5,IF(Tabla1[[#This Row],[tamanho]]=$I$6,$L$6,0))))*IF(C193="8_1",9,25))</f>
        <v>4.177304459106016E-7</v>
      </c>
    </row>
    <row r="194" spans="1:6" ht="12.75" x14ac:dyDescent="0.2">
      <c r="A194" s="1">
        <v>8</v>
      </c>
      <c r="B194" s="1">
        <v>1</v>
      </c>
      <c r="C194" s="1" t="s">
        <v>5</v>
      </c>
      <c r="D194" s="1" t="s">
        <v>6</v>
      </c>
      <c r="E194" s="1">
        <v>0.40457916259765597</v>
      </c>
      <c r="F194" s="1">
        <f>Tabla1[[#This Row],[tiempo]]/(IF(Tabla1[[#This Row],[tamanho]]=$I$3,$L$3,IF(Tabla1[[#This Row],[tamanho]]=$I$4,$L$4,IF(Tabla1[[#This Row],[tamanho]]=$I$5,$L$5,IF(Tabla1[[#This Row],[tamanho]]=$I$6,$L$6,0))))*IF(C194="8_1",9,25))</f>
        <v>1.6673432101416283E-6</v>
      </c>
    </row>
    <row r="195" spans="1:6" ht="12.75" x14ac:dyDescent="0.2">
      <c r="A195" s="1">
        <v>8</v>
      </c>
      <c r="B195" s="1">
        <v>1</v>
      </c>
      <c r="C195" s="1" t="s">
        <v>7</v>
      </c>
      <c r="D195" s="1" t="s">
        <v>6</v>
      </c>
      <c r="E195" s="1">
        <v>0.45262908935546797</v>
      </c>
      <c r="F195" s="1">
        <f>Tabla1[[#This Row],[tiempo]]/(IF(Tabla1[[#This Row],[tamanho]]=$I$3,$L$3,IF(Tabla1[[#This Row],[tamanho]]=$I$4,$L$4,IF(Tabla1[[#This Row],[tamanho]]=$I$5,$L$5,IF(Tabla1[[#This Row],[tamanho]]=$I$6,$L$6,0))))*IF(C195="8_1",9,25))</f>
        <v>6.7153160395455353E-7</v>
      </c>
    </row>
    <row r="196" spans="1:6" ht="12.75" x14ac:dyDescent="0.2">
      <c r="A196" s="1">
        <v>8</v>
      </c>
      <c r="B196" s="1">
        <v>1</v>
      </c>
      <c r="C196" s="1" t="s">
        <v>8</v>
      </c>
      <c r="D196" s="1" t="s">
        <v>6</v>
      </c>
      <c r="E196" s="1">
        <v>0.45427727699279702</v>
      </c>
      <c r="F196" s="1">
        <f>Tabla1[[#This Row],[tiempo]]/(IF(Tabla1[[#This Row],[tamanho]]=$I$3,$L$3,IF(Tabla1[[#This Row],[tamanho]]=$I$4,$L$4,IF(Tabla1[[#This Row],[tamanho]]=$I$5,$L$5,IF(Tabla1[[#This Row],[tamanho]]=$I$6,$L$6,0))))*IF(C196="8_1",9,25))</f>
        <v>6.7397689550505839E-7</v>
      </c>
    </row>
    <row r="197" spans="1:6" ht="12.75" x14ac:dyDescent="0.2">
      <c r="A197" s="1">
        <v>8</v>
      </c>
      <c r="B197" s="1">
        <v>1</v>
      </c>
      <c r="C197" s="1" t="s">
        <v>5</v>
      </c>
      <c r="D197" s="1" t="s">
        <v>9</v>
      </c>
      <c r="E197" s="1">
        <v>0.40784406661987299</v>
      </c>
      <c r="F197" s="1">
        <f>Tabla1[[#This Row],[tiempo]]/(IF(Tabla1[[#This Row],[tamanho]]=$I$3,$L$3,IF(Tabla1[[#This Row],[tamanho]]=$I$4,$L$4,IF(Tabla1[[#This Row],[tamanho]]=$I$5,$L$5,IF(Tabla1[[#This Row],[tamanho]]=$I$6,$L$6,0))))*IF(C197="8_1",9,25))</f>
        <v>1.6807984645305482E-6</v>
      </c>
    </row>
    <row r="198" spans="1:6" ht="12.75" x14ac:dyDescent="0.2">
      <c r="A198" s="1">
        <v>8</v>
      </c>
      <c r="B198" s="1">
        <v>1</v>
      </c>
      <c r="C198" s="1" t="s">
        <v>7</v>
      </c>
      <c r="D198" s="1" t="s">
        <v>9</v>
      </c>
      <c r="E198" s="1">
        <v>0.48457956314086897</v>
      </c>
      <c r="F198" s="1">
        <f>Tabla1[[#This Row],[tiempo]]/(IF(Tabla1[[#This Row],[tamanho]]=$I$3,$L$3,IF(Tabla1[[#This Row],[tamanho]]=$I$4,$L$4,IF(Tabla1[[#This Row],[tamanho]]=$I$5,$L$5,IF(Tabla1[[#This Row],[tamanho]]=$I$6,$L$6,0))))*IF(C198="8_1",9,25))</f>
        <v>7.1893410947794064E-7</v>
      </c>
    </row>
    <row r="199" spans="1:6" ht="12.75" x14ac:dyDescent="0.2">
      <c r="A199" s="1">
        <v>8</v>
      </c>
      <c r="B199" s="1">
        <v>1</v>
      </c>
      <c r="C199" s="1" t="s">
        <v>8</v>
      </c>
      <c r="D199" s="1" t="s">
        <v>9</v>
      </c>
      <c r="E199" s="1">
        <v>0.45936965942382801</v>
      </c>
      <c r="F199" s="1">
        <f>Tabla1[[#This Row],[tiempo]]/(IF(Tabla1[[#This Row],[tamanho]]=$I$3,$L$3,IF(Tabla1[[#This Row],[tamanho]]=$I$4,$L$4,IF(Tabla1[[#This Row],[tamanho]]=$I$5,$L$5,IF(Tabla1[[#This Row],[tamanho]]=$I$6,$L$6,0))))*IF(C199="8_1",9,25))</f>
        <v>6.8153207881581254E-7</v>
      </c>
    </row>
    <row r="200" spans="1:6" ht="12.75" x14ac:dyDescent="0.2">
      <c r="A200" s="1">
        <v>8</v>
      </c>
      <c r="B200" s="1">
        <v>2</v>
      </c>
      <c r="C200" s="1" t="s">
        <v>5</v>
      </c>
      <c r="D200" s="1" t="s">
        <v>6</v>
      </c>
      <c r="E200" s="1">
        <v>1.66542696952819</v>
      </c>
      <c r="F200" s="1">
        <f>Tabla1[[#This Row],[tiempo]]/(IF(Tabla1[[#This Row],[tamanho]]=$I$3,$L$3,IF(Tabla1[[#This Row],[tamanho]]=$I$4,$L$4,IF(Tabla1[[#This Row],[tamanho]]=$I$5,$L$5,IF(Tabla1[[#This Row],[tamanho]]=$I$6,$L$6,0))))*IF(C200="8_1",9,25))</f>
        <v>1.0083120337544697E-6</v>
      </c>
    </row>
    <row r="201" spans="1:6" ht="12.75" x14ac:dyDescent="0.2">
      <c r="A201" s="1">
        <v>8</v>
      </c>
      <c r="B201" s="1">
        <v>2</v>
      </c>
      <c r="C201" s="1" t="s">
        <v>7</v>
      </c>
      <c r="D201" s="1" t="s">
        <v>6</v>
      </c>
      <c r="E201" s="1">
        <v>1.91146492958068</v>
      </c>
      <c r="F201" s="1">
        <f>Tabla1[[#This Row],[tiempo]]/(IF(Tabla1[[#This Row],[tamanho]]=$I$3,$L$3,IF(Tabla1[[#This Row],[tamanho]]=$I$4,$L$4,IF(Tabla1[[#This Row],[tamanho]]=$I$5,$L$5,IF(Tabla1[[#This Row],[tamanho]]=$I$6,$L$6,0))))*IF(C201="8_1",9,25))</f>
        <v>4.1661815577002866E-7</v>
      </c>
    </row>
    <row r="202" spans="1:6" ht="12.75" x14ac:dyDescent="0.2">
      <c r="A202" s="1">
        <v>8</v>
      </c>
      <c r="B202" s="1">
        <v>2</v>
      </c>
      <c r="C202" s="1" t="s">
        <v>8</v>
      </c>
      <c r="D202" s="1" t="s">
        <v>6</v>
      </c>
      <c r="E202" s="1">
        <v>1.9177453517913801</v>
      </c>
      <c r="F202" s="1">
        <f>Tabla1[[#This Row],[tiempo]]/(IF(Tabla1[[#This Row],[tamanho]]=$I$3,$L$3,IF(Tabla1[[#This Row],[tamanho]]=$I$4,$L$4,IF(Tabla1[[#This Row],[tamanho]]=$I$5,$L$5,IF(Tabla1[[#This Row],[tamanho]]=$I$6,$L$6,0))))*IF(C202="8_1",9,25))</f>
        <v>4.1798702102012401E-7</v>
      </c>
    </row>
    <row r="203" spans="1:6" ht="12.75" x14ac:dyDescent="0.2">
      <c r="A203" s="1">
        <v>8</v>
      </c>
      <c r="B203" s="1">
        <v>2</v>
      </c>
      <c r="C203" s="1" t="s">
        <v>5</v>
      </c>
      <c r="D203" s="1" t="s">
        <v>9</v>
      </c>
      <c r="E203" s="1">
        <v>1.67571544647216</v>
      </c>
      <c r="F203" s="1">
        <f>Tabla1[[#This Row],[tiempo]]/(IF(Tabla1[[#This Row],[tamanho]]=$I$3,$L$3,IF(Tabla1[[#This Row],[tamanho]]=$I$4,$L$4,IF(Tabla1[[#This Row],[tamanho]]=$I$5,$L$5,IF(Tabla1[[#This Row],[tamanho]]=$I$6,$L$6,0))))*IF(C203="8_1",9,25))</f>
        <v>1.0145410640880839E-6</v>
      </c>
    </row>
    <row r="204" spans="1:6" ht="12.75" x14ac:dyDescent="0.2">
      <c r="A204" s="1">
        <v>8</v>
      </c>
      <c r="B204" s="1">
        <v>2</v>
      </c>
      <c r="C204" s="1" t="s">
        <v>7</v>
      </c>
      <c r="D204" s="1" t="s">
        <v>9</v>
      </c>
      <c r="E204" s="1">
        <v>1.8627569675445499</v>
      </c>
      <c r="F204" s="1">
        <f>Tabla1[[#This Row],[tiempo]]/(IF(Tabla1[[#This Row],[tamanho]]=$I$3,$L$3,IF(Tabla1[[#This Row],[tamanho]]=$I$4,$L$4,IF(Tabla1[[#This Row],[tamanho]]=$I$5,$L$5,IF(Tabla1[[#This Row],[tamanho]]=$I$6,$L$6,0))))*IF(C204="8_1",9,25))</f>
        <v>4.0600188915651526E-7</v>
      </c>
    </row>
    <row r="205" spans="1:6" ht="12.75" x14ac:dyDescent="0.2">
      <c r="A205" s="1">
        <v>8</v>
      </c>
      <c r="B205" s="1">
        <v>2</v>
      </c>
      <c r="C205" s="1" t="s">
        <v>8</v>
      </c>
      <c r="D205" s="1" t="s">
        <v>9</v>
      </c>
      <c r="E205" s="1">
        <v>1.89121770858764</v>
      </c>
      <c r="F205" s="1">
        <f>Tabla1[[#This Row],[tiempo]]/(IF(Tabla1[[#This Row],[tamanho]]=$I$3,$L$3,IF(Tabla1[[#This Row],[tamanho]]=$I$4,$L$4,IF(Tabla1[[#This Row],[tamanho]]=$I$5,$L$5,IF(Tabla1[[#This Row],[tamanho]]=$I$6,$L$6,0))))*IF(C205="8_1",9,25))</f>
        <v>4.1220512169388737E-7</v>
      </c>
    </row>
    <row r="206" spans="1:6" ht="12.75" x14ac:dyDescent="0.2">
      <c r="A206" s="1">
        <v>8</v>
      </c>
      <c r="B206" s="1">
        <v>3</v>
      </c>
      <c r="C206" s="1" t="s">
        <v>5</v>
      </c>
      <c r="D206" s="1" t="s">
        <v>6</v>
      </c>
      <c r="E206" s="1">
        <v>3.8646311759948699</v>
      </c>
      <c r="F206" s="1">
        <f>Tabla1[[#This Row],[tiempo]]/(IF(Tabla1[[#This Row],[tamanho]]=$I$3,$L$3,IF(Tabla1[[#This Row],[tamanho]]=$I$4,$L$4,IF(Tabla1[[#This Row],[tamanho]]=$I$5,$L$5,IF(Tabla1[[#This Row],[tamanho]]=$I$6,$L$6,0))))*IF(C206="8_1",9,25))</f>
        <v>1.0390812988639648E-6</v>
      </c>
    </row>
    <row r="207" spans="1:6" ht="12.75" x14ac:dyDescent="0.2">
      <c r="A207" s="1">
        <v>8</v>
      </c>
      <c r="B207" s="1">
        <v>3</v>
      </c>
      <c r="C207" s="1" t="s">
        <v>7</v>
      </c>
      <c r="D207" s="1" t="s">
        <v>6</v>
      </c>
      <c r="E207" s="1">
        <v>4.2706208229064897</v>
      </c>
      <c r="F207" s="1">
        <f>Tabla1[[#This Row],[tiempo]]/(IF(Tabla1[[#This Row],[tamanho]]=$I$3,$L$3,IF(Tabla1[[#This Row],[tamanho]]=$I$4,$L$4,IF(Tabla1[[#This Row],[tamanho]]=$I$5,$L$5,IF(Tabla1[[#This Row],[tamanho]]=$I$6,$L$6,0))))*IF(C207="8_1",9,25))</f>
        <v>4.1336622581387089E-7</v>
      </c>
    </row>
    <row r="208" spans="1:6" ht="12.75" x14ac:dyDescent="0.2">
      <c r="A208" s="1">
        <v>8</v>
      </c>
      <c r="B208" s="1">
        <v>3</v>
      </c>
      <c r="C208" s="1" t="s">
        <v>8</v>
      </c>
      <c r="D208" s="1" t="s">
        <v>6</v>
      </c>
      <c r="E208" s="1">
        <v>4.2720398902893004</v>
      </c>
      <c r="F208" s="1">
        <f>Tabla1[[#This Row],[tiempo]]/(IF(Tabla1[[#This Row],[tamanho]]=$I$3,$L$3,IF(Tabla1[[#This Row],[tamanho]]=$I$4,$L$4,IF(Tabla1[[#This Row],[tamanho]]=$I$5,$L$5,IF(Tabla1[[#This Row],[tamanho]]=$I$6,$L$6,0))))*IF(C208="8_1",9,25))</f>
        <v>4.1350358161119707E-7</v>
      </c>
    </row>
    <row r="209" spans="1:6" ht="12.75" x14ac:dyDescent="0.2">
      <c r="A209" s="1">
        <v>8</v>
      </c>
      <c r="B209" s="1">
        <v>3</v>
      </c>
      <c r="C209" s="1" t="s">
        <v>5</v>
      </c>
      <c r="D209" s="1" t="s">
        <v>9</v>
      </c>
      <c r="E209" s="1">
        <v>3.78534936904907</v>
      </c>
      <c r="F209" s="1">
        <f>Tabla1[[#This Row],[tiempo]]/(IF(Tabla1[[#This Row],[tamanho]]=$I$3,$L$3,IF(Tabla1[[#This Row],[tamanho]]=$I$4,$L$4,IF(Tabla1[[#This Row],[tamanho]]=$I$5,$L$5,IF(Tabla1[[#This Row],[tamanho]]=$I$6,$L$6,0))))*IF(C209="8_1",9,25))</f>
        <v>1.0177648422123628E-6</v>
      </c>
    </row>
    <row r="210" spans="1:6" ht="12.75" x14ac:dyDescent="0.2">
      <c r="A210" s="1">
        <v>8</v>
      </c>
      <c r="B210" s="1">
        <v>3</v>
      </c>
      <c r="C210" s="1" t="s">
        <v>7</v>
      </c>
      <c r="D210" s="1" t="s">
        <v>9</v>
      </c>
      <c r="E210" s="1">
        <v>4.2547636032104403</v>
      </c>
      <c r="F210" s="1">
        <f>Tabla1[[#This Row],[tiempo]]/(IF(Tabla1[[#This Row],[tamanho]]=$I$3,$L$3,IF(Tabla1[[#This Row],[tamanho]]=$I$4,$L$4,IF(Tabla1[[#This Row],[tamanho]]=$I$5,$L$5,IF(Tabla1[[#This Row],[tamanho]]=$I$6,$L$6,0))))*IF(C210="8_1",9,25))</f>
        <v>4.1183135785685191E-7</v>
      </c>
    </row>
    <row r="211" spans="1:6" ht="12.75" x14ac:dyDescent="0.2">
      <c r="A211" s="1">
        <v>8</v>
      </c>
      <c r="B211" s="1">
        <v>3</v>
      </c>
      <c r="C211" s="1" t="s">
        <v>8</v>
      </c>
      <c r="D211" s="1" t="s">
        <v>9</v>
      </c>
      <c r="E211" s="1">
        <v>4.3009109497070304</v>
      </c>
      <c r="F211" s="1">
        <f>Tabla1[[#This Row],[tiempo]]/(IF(Tabla1[[#This Row],[tamanho]]=$I$3,$L$3,IF(Tabla1[[#This Row],[tamanho]]=$I$4,$L$4,IF(Tabla1[[#This Row],[tamanho]]=$I$5,$L$5,IF(Tabla1[[#This Row],[tamanho]]=$I$6,$L$6,0))))*IF(C211="8_1",9,25))</f>
        <v>4.1629809823106235E-7</v>
      </c>
    </row>
    <row r="212" spans="1:6" ht="12.75" x14ac:dyDescent="0.2">
      <c r="A212" s="1">
        <v>8</v>
      </c>
      <c r="B212" s="1">
        <v>4</v>
      </c>
      <c r="C212" s="1" t="s">
        <v>5</v>
      </c>
      <c r="D212" s="1" t="s">
        <v>6</v>
      </c>
      <c r="E212" s="1">
        <v>6.7338564395904497</v>
      </c>
      <c r="F212" s="1">
        <f>Tabla1[[#This Row],[tiempo]]/(IF(Tabla1[[#This Row],[tamanho]]=$I$3,$L$3,IF(Tabla1[[#This Row],[tamanho]]=$I$4,$L$4,IF(Tabla1[[#This Row],[tamanho]]=$I$5,$L$5,IF(Tabla1[[#This Row],[tamanho]]=$I$6,$L$6,0))))*IF(C212="8_1",9,25))</f>
        <v>1.016856782407255E-6</v>
      </c>
    </row>
    <row r="213" spans="1:6" ht="12.75" x14ac:dyDescent="0.2">
      <c r="A213" s="1">
        <v>8</v>
      </c>
      <c r="B213" s="1">
        <v>4</v>
      </c>
      <c r="C213" s="1" t="s">
        <v>7</v>
      </c>
      <c r="D213" s="1" t="s">
        <v>6</v>
      </c>
      <c r="E213" s="1">
        <v>7.5184867382049498</v>
      </c>
      <c r="F213" s="1">
        <f>Tabla1[[#This Row],[tiempo]]/(IF(Tabla1[[#This Row],[tamanho]]=$I$3,$L$3,IF(Tabla1[[#This Row],[tamanho]]=$I$4,$L$4,IF(Tabla1[[#This Row],[tamanho]]=$I$5,$L$5,IF(Tabla1[[#This Row],[tamanho]]=$I$6,$L$6,0))))*IF(C213="8_1",9,25))</f>
        <v>4.0872280967622854E-7</v>
      </c>
    </row>
    <row r="214" spans="1:6" ht="12.75" x14ac:dyDescent="0.2">
      <c r="A214" s="1">
        <v>8</v>
      </c>
      <c r="B214" s="1">
        <v>4</v>
      </c>
      <c r="C214" s="1" t="s">
        <v>8</v>
      </c>
      <c r="D214" s="1" t="s">
        <v>6</v>
      </c>
      <c r="E214" s="1">
        <v>7.5923542976379297</v>
      </c>
      <c r="F214" s="1">
        <f>Tabla1[[#This Row],[tiempo]]/(IF(Tabla1[[#This Row],[tamanho]]=$I$3,$L$3,IF(Tabla1[[#This Row],[tamanho]]=$I$4,$L$4,IF(Tabla1[[#This Row],[tamanho]]=$I$5,$L$5,IF(Tabla1[[#This Row],[tamanho]]=$I$6,$L$6,0))))*IF(C214="8_1",9,25))</f>
        <v>4.1273842578178831E-7</v>
      </c>
    </row>
    <row r="215" spans="1:6" ht="12.75" x14ac:dyDescent="0.2">
      <c r="A215" s="1">
        <v>8</v>
      </c>
      <c r="B215" s="1">
        <v>4</v>
      </c>
      <c r="C215" s="1" t="s">
        <v>5</v>
      </c>
      <c r="D215" s="1" t="s">
        <v>9</v>
      </c>
      <c r="E215" s="1">
        <v>6.8887245655059797</v>
      </c>
      <c r="F215" s="1">
        <f>Tabla1[[#This Row],[tiempo]]/(IF(Tabla1[[#This Row],[tamanho]]=$I$3,$L$3,IF(Tabla1[[#This Row],[tamanho]]=$I$4,$L$4,IF(Tabla1[[#This Row],[tamanho]]=$I$5,$L$5,IF(Tabla1[[#This Row],[tamanho]]=$I$6,$L$6,0))))*IF(C215="8_1",9,25))</f>
        <v>1.0402428919313668E-6</v>
      </c>
    </row>
    <row r="216" spans="1:6" ht="12.75" x14ac:dyDescent="0.2">
      <c r="A216" s="1">
        <v>8</v>
      </c>
      <c r="B216" s="1">
        <v>4</v>
      </c>
      <c r="C216" s="1" t="s">
        <v>7</v>
      </c>
      <c r="D216" s="1" t="s">
        <v>9</v>
      </c>
      <c r="E216" s="1">
        <v>7.6104876995086599</v>
      </c>
      <c r="F216" s="1">
        <f>Tabla1[[#This Row],[tiempo]]/(IF(Tabla1[[#This Row],[tamanho]]=$I$3,$L$3,IF(Tabla1[[#This Row],[tamanho]]=$I$4,$L$4,IF(Tabla1[[#This Row],[tamanho]]=$I$5,$L$5,IF(Tabla1[[#This Row],[tamanho]]=$I$6,$L$6,0))))*IF(C216="8_1",9,25))</f>
        <v>4.1372420060851394E-7</v>
      </c>
    </row>
    <row r="217" spans="1:6" ht="12.75" x14ac:dyDescent="0.2">
      <c r="A217" s="1">
        <v>8</v>
      </c>
      <c r="B217" s="1">
        <v>4</v>
      </c>
      <c r="C217" s="1" t="s">
        <v>8</v>
      </c>
      <c r="D217" s="1" t="s">
        <v>9</v>
      </c>
      <c r="E217" s="1">
        <v>7.7021725177764804</v>
      </c>
      <c r="F217" s="1">
        <f>Tabla1[[#This Row],[tiempo]]/(IF(Tabla1[[#This Row],[tamanho]]=$I$3,$L$3,IF(Tabla1[[#This Row],[tamanho]]=$I$4,$L$4,IF(Tabla1[[#This Row],[tamanho]]=$I$5,$L$5,IF(Tabla1[[#This Row],[tamanho]]=$I$6,$L$6,0))))*IF(C217="8_1",9,25))</f>
        <v>4.1870840525393238E-7</v>
      </c>
    </row>
    <row r="218" spans="1:6" ht="12.75" x14ac:dyDescent="0.2">
      <c r="A218" s="1">
        <v>9</v>
      </c>
      <c r="B218" s="1">
        <v>1</v>
      </c>
      <c r="C218" s="1" t="s">
        <v>5</v>
      </c>
      <c r="D218" s="1" t="s">
        <v>6</v>
      </c>
      <c r="E218" s="1">
        <v>0.40844297409057601</v>
      </c>
      <c r="F218" s="1">
        <f>Tabla1[[#This Row],[tiempo]]/(IF(Tabla1[[#This Row],[tamanho]]=$I$3,$L$3,IF(Tabla1[[#This Row],[tamanho]]=$I$4,$L$4,IF(Tabla1[[#This Row],[tamanho]]=$I$5,$L$5,IF(Tabla1[[#This Row],[tamanho]]=$I$6,$L$6,0))))*IF(C218="8_1",9,25))</f>
        <v>1.6832666695126541E-6</v>
      </c>
    </row>
    <row r="219" spans="1:6" ht="12.75" x14ac:dyDescent="0.2">
      <c r="A219" s="1">
        <v>9</v>
      </c>
      <c r="B219" s="1">
        <v>1</v>
      </c>
      <c r="C219" s="1" t="s">
        <v>7</v>
      </c>
      <c r="D219" s="1" t="s">
        <v>6</v>
      </c>
      <c r="E219" s="1">
        <v>0.454251289367675</v>
      </c>
      <c r="F219" s="1">
        <f>Tabla1[[#This Row],[tiempo]]/(IF(Tabla1[[#This Row],[tamanho]]=$I$3,$L$3,IF(Tabla1[[#This Row],[tamanho]]=$I$4,$L$4,IF(Tabla1[[#This Row],[tamanho]]=$I$5,$L$5,IF(Tabla1[[#This Row],[tamanho]]=$I$6,$L$6,0))))*IF(C219="8_1",9,25))</f>
        <v>6.7393833962786992E-7</v>
      </c>
    </row>
    <row r="220" spans="1:6" ht="12.75" x14ac:dyDescent="0.2">
      <c r="A220" s="1">
        <v>9</v>
      </c>
      <c r="B220" s="1">
        <v>1</v>
      </c>
      <c r="C220" s="1" t="s">
        <v>8</v>
      </c>
      <c r="D220" s="1" t="s">
        <v>6</v>
      </c>
      <c r="E220" s="1">
        <v>0.45878481864929199</v>
      </c>
      <c r="F220" s="1">
        <f>Tabla1[[#This Row],[tiempo]]/(IF(Tabla1[[#This Row],[tamanho]]=$I$3,$L$3,IF(Tabla1[[#This Row],[tamanho]]=$I$4,$L$4,IF(Tabla1[[#This Row],[tamanho]]=$I$5,$L$5,IF(Tabla1[[#This Row],[tamanho]]=$I$6,$L$6,0))))*IF(C220="8_1",9,25))</f>
        <v>6.8066439471724634E-7</v>
      </c>
    </row>
    <row r="221" spans="1:6" ht="12.75" x14ac:dyDescent="0.2">
      <c r="A221" s="1">
        <v>9</v>
      </c>
      <c r="B221" s="1">
        <v>1</v>
      </c>
      <c r="C221" s="1" t="s">
        <v>5</v>
      </c>
      <c r="D221" s="1" t="s">
        <v>9</v>
      </c>
      <c r="E221" s="1">
        <v>0.406563520431518</v>
      </c>
      <c r="F221" s="1">
        <f>Tabla1[[#This Row],[tiempo]]/(IF(Tabla1[[#This Row],[tamanho]]=$I$3,$L$3,IF(Tabla1[[#This Row],[tamanho]]=$I$4,$L$4,IF(Tabla1[[#This Row],[tamanho]]=$I$5,$L$5,IF(Tabla1[[#This Row],[tamanho]]=$I$6,$L$6,0))))*IF(C221="8_1",9,25))</f>
        <v>1.6755211042762096E-6</v>
      </c>
    </row>
    <row r="222" spans="1:6" ht="12.75" x14ac:dyDescent="0.2">
      <c r="A222" s="1">
        <v>9</v>
      </c>
      <c r="B222" s="1">
        <v>1</v>
      </c>
      <c r="C222" s="1" t="s">
        <v>7</v>
      </c>
      <c r="D222" s="1" t="s">
        <v>9</v>
      </c>
      <c r="E222" s="1">
        <v>0.45634794235229398</v>
      </c>
      <c r="F222" s="1">
        <f>Tabla1[[#This Row],[tiempo]]/(IF(Tabla1[[#This Row],[tamanho]]=$I$3,$L$3,IF(Tabla1[[#This Row],[tamanho]]=$I$4,$L$4,IF(Tabla1[[#This Row],[tamanho]]=$I$5,$L$5,IF(Tabla1[[#This Row],[tamanho]]=$I$6,$L$6,0))))*IF(C222="8_1",9,25))</f>
        <v>6.7704898535261152E-7</v>
      </c>
    </row>
    <row r="223" spans="1:6" ht="12.75" x14ac:dyDescent="0.2">
      <c r="A223" s="1">
        <v>9</v>
      </c>
      <c r="B223" s="1">
        <v>1</v>
      </c>
      <c r="C223" s="1" t="s">
        <v>8</v>
      </c>
      <c r="D223" s="1" t="s">
        <v>9</v>
      </c>
      <c r="E223" s="1">
        <v>0.46272897720336897</v>
      </c>
      <c r="F223" s="1">
        <f>Tabla1[[#This Row],[tiempo]]/(IF(Tabla1[[#This Row],[tamanho]]=$I$3,$L$3,IF(Tabla1[[#This Row],[tamanho]]=$I$4,$L$4,IF(Tabla1[[#This Row],[tamanho]]=$I$5,$L$5,IF(Tabla1[[#This Row],[tamanho]]=$I$6,$L$6,0))))*IF(C223="8_1",9,25))</f>
        <v>6.8651604495882052E-7</v>
      </c>
    </row>
    <row r="224" spans="1:6" ht="12.75" x14ac:dyDescent="0.2">
      <c r="A224" s="1">
        <v>9</v>
      </c>
      <c r="B224" s="1">
        <v>2</v>
      </c>
      <c r="C224" s="1" t="s">
        <v>5</v>
      </c>
      <c r="D224" s="1" t="s">
        <v>6</v>
      </c>
      <c r="E224" s="1">
        <v>1.6518313884735101</v>
      </c>
      <c r="F224" s="1">
        <f>Tabla1[[#This Row],[tiempo]]/(IF(Tabla1[[#This Row],[tamanho]]=$I$3,$L$3,IF(Tabla1[[#This Row],[tamanho]]=$I$4,$L$4,IF(Tabla1[[#This Row],[tamanho]]=$I$5,$L$5,IF(Tabla1[[#This Row],[tamanho]]=$I$6,$L$6,0))))*IF(C224="8_1",9,25))</f>
        <v>1.0000807583913706E-6</v>
      </c>
    </row>
    <row r="225" spans="1:6" ht="12.75" x14ac:dyDescent="0.2">
      <c r="A225" s="1">
        <v>9</v>
      </c>
      <c r="B225" s="1">
        <v>2</v>
      </c>
      <c r="C225" s="1" t="s">
        <v>7</v>
      </c>
      <c r="D225" s="1" t="s">
        <v>6</v>
      </c>
      <c r="E225" s="1">
        <v>1.97105193138122</v>
      </c>
      <c r="F225" s="1">
        <f>Tabla1[[#This Row],[tiempo]]/(IF(Tabla1[[#This Row],[tamanho]]=$I$3,$L$3,IF(Tabla1[[#This Row],[tamanho]]=$I$4,$L$4,IF(Tabla1[[#This Row],[tamanho]]=$I$5,$L$5,IF(Tabla1[[#This Row],[tamanho]]=$I$6,$L$6,0))))*IF(C225="8_1",9,25))</f>
        <v>4.2960559091143735E-7</v>
      </c>
    </row>
    <row r="226" spans="1:6" ht="12.75" x14ac:dyDescent="0.2">
      <c r="A226" s="1">
        <v>9</v>
      </c>
      <c r="B226" s="1">
        <v>2</v>
      </c>
      <c r="C226" s="1" t="s">
        <v>8</v>
      </c>
      <c r="D226" s="1" t="s">
        <v>6</v>
      </c>
      <c r="E226" s="1">
        <v>1.8679659366607599</v>
      </c>
      <c r="F226" s="1">
        <f>Tabla1[[#This Row],[tiempo]]/(IF(Tabla1[[#This Row],[tamanho]]=$I$3,$L$3,IF(Tabla1[[#This Row],[tamanho]]=$I$4,$L$4,IF(Tabla1[[#This Row],[tamanho]]=$I$5,$L$5,IF(Tabla1[[#This Row],[tamanho]]=$I$6,$L$6,0))))*IF(C226="8_1",9,25))</f>
        <v>4.0713722314725426E-7</v>
      </c>
    </row>
    <row r="227" spans="1:6" ht="12.75" x14ac:dyDescent="0.2">
      <c r="A227" s="1">
        <v>9</v>
      </c>
      <c r="B227" s="1">
        <v>2</v>
      </c>
      <c r="C227" s="1" t="s">
        <v>5</v>
      </c>
      <c r="D227" s="1" t="s">
        <v>9</v>
      </c>
      <c r="E227" s="1">
        <v>1.6653892993927</v>
      </c>
      <c r="F227" s="1">
        <f>Tabla1[[#This Row],[tiempo]]/(IF(Tabla1[[#This Row],[tamanho]]=$I$3,$L$3,IF(Tabla1[[#This Row],[tamanho]]=$I$4,$L$4,IF(Tabla1[[#This Row],[tamanho]]=$I$5,$L$5,IF(Tabla1[[#This Row],[tamanho]]=$I$6,$L$6,0))))*IF(C227="8_1",9,25))</f>
        <v>1.0082892268397127E-6</v>
      </c>
    </row>
    <row r="228" spans="1:6" ht="12.75" x14ac:dyDescent="0.2">
      <c r="A228" s="1">
        <v>9</v>
      </c>
      <c r="B228" s="1">
        <v>2</v>
      </c>
      <c r="C228" s="1" t="s">
        <v>7</v>
      </c>
      <c r="D228" s="1" t="s">
        <v>9</v>
      </c>
      <c r="E228" s="1">
        <v>1.8681888580322199</v>
      </c>
      <c r="F228" s="1">
        <f>Tabla1[[#This Row],[tiempo]]/(IF(Tabla1[[#This Row],[tamanho]]=$I$3,$L$3,IF(Tabla1[[#This Row],[tamanho]]=$I$4,$L$4,IF(Tabla1[[#This Row],[tamanho]]=$I$5,$L$5,IF(Tabla1[[#This Row],[tamanho]]=$I$6,$L$6,0))))*IF(C228="8_1",9,25))</f>
        <v>4.0718581053655035E-7</v>
      </c>
    </row>
    <row r="229" spans="1:6" ht="12.75" x14ac:dyDescent="0.2">
      <c r="A229" s="1">
        <v>9</v>
      </c>
      <c r="B229" s="1">
        <v>2</v>
      </c>
      <c r="C229" s="1" t="s">
        <v>8</v>
      </c>
      <c r="D229" s="1" t="s">
        <v>9</v>
      </c>
      <c r="E229" s="1">
        <v>1.9006385803222601</v>
      </c>
      <c r="F229" s="1">
        <f>Tabla1[[#This Row],[tiempo]]/(IF(Tabla1[[#This Row],[tamanho]]=$I$3,$L$3,IF(Tabla1[[#This Row],[tamanho]]=$I$4,$L$4,IF(Tabla1[[#This Row],[tamanho]]=$I$5,$L$5,IF(Tabla1[[#This Row],[tamanho]]=$I$6,$L$6,0))))*IF(C229="8_1",9,25))</f>
        <v>4.1425847153415069E-7</v>
      </c>
    </row>
    <row r="230" spans="1:6" ht="12.75" x14ac:dyDescent="0.2">
      <c r="A230" s="1">
        <v>9</v>
      </c>
      <c r="B230" s="1">
        <v>3</v>
      </c>
      <c r="C230" s="1" t="s">
        <v>5</v>
      </c>
      <c r="D230" s="1" t="s">
        <v>6</v>
      </c>
      <c r="E230" s="1">
        <v>3.8995449542999201</v>
      </c>
      <c r="F230" s="1">
        <f>Tabla1[[#This Row],[tiempo]]/(IF(Tabla1[[#This Row],[tamanho]]=$I$3,$L$3,IF(Tabla1[[#This Row],[tamanho]]=$I$4,$L$4,IF(Tabla1[[#This Row],[tamanho]]=$I$5,$L$5,IF(Tabla1[[#This Row],[tamanho]]=$I$6,$L$6,0))))*IF(C230="8_1",9,25))</f>
        <v>1.0484685475967291E-6</v>
      </c>
    </row>
    <row r="231" spans="1:6" ht="12.75" x14ac:dyDescent="0.2">
      <c r="A231" s="1">
        <v>9</v>
      </c>
      <c r="B231" s="1">
        <v>3</v>
      </c>
      <c r="C231" s="1" t="s">
        <v>7</v>
      </c>
      <c r="D231" s="1" t="s">
        <v>6</v>
      </c>
      <c r="E231" s="1">
        <v>4.37872242927551</v>
      </c>
      <c r="F231" s="1">
        <f>Tabla1[[#This Row],[tiempo]]/(IF(Tabla1[[#This Row],[tamanho]]=$I$3,$L$3,IF(Tabla1[[#This Row],[tamanho]]=$I$4,$L$4,IF(Tabla1[[#This Row],[tamanho]]=$I$5,$L$5,IF(Tabla1[[#This Row],[tamanho]]=$I$6,$L$6,0))))*IF(C231="8_1",9,25))</f>
        <v>4.238297052193702E-7</v>
      </c>
    </row>
    <row r="232" spans="1:6" ht="12.75" x14ac:dyDescent="0.2">
      <c r="A232" s="1">
        <v>9</v>
      </c>
      <c r="B232" s="1">
        <v>3</v>
      </c>
      <c r="C232" s="1" t="s">
        <v>8</v>
      </c>
      <c r="D232" s="1" t="s">
        <v>6</v>
      </c>
      <c r="E232" s="1">
        <v>4.3030552864074698</v>
      </c>
      <c r="F232" s="1">
        <f>Tabla1[[#This Row],[tiempo]]/(IF(Tabla1[[#This Row],[tamanho]]=$I$3,$L$3,IF(Tabla1[[#This Row],[tamanho]]=$I$4,$L$4,IF(Tabla1[[#This Row],[tamanho]]=$I$5,$L$5,IF(Tabla1[[#This Row],[tamanho]]=$I$6,$L$6,0))))*IF(C232="8_1",9,25))</f>
        <v>4.1650565502561092E-7</v>
      </c>
    </row>
    <row r="233" spans="1:6" ht="12.75" x14ac:dyDescent="0.2">
      <c r="A233" s="1">
        <v>9</v>
      </c>
      <c r="B233" s="1">
        <v>3</v>
      </c>
      <c r="C233" s="1" t="s">
        <v>5</v>
      </c>
      <c r="D233" s="1" t="s">
        <v>9</v>
      </c>
      <c r="E233" s="1">
        <v>3.82425856590271</v>
      </c>
      <c r="F233" s="1">
        <f>Tabla1[[#This Row],[tiempo]]/(IF(Tabla1[[#This Row],[tamanho]]=$I$3,$L$3,IF(Tabla1[[#This Row],[tamanho]]=$I$4,$L$4,IF(Tabla1[[#This Row],[tamanho]]=$I$5,$L$5,IF(Tabla1[[#This Row],[tamanho]]=$I$6,$L$6,0))))*IF(C233="8_1",9,25))</f>
        <v>1.0282263369742857E-6</v>
      </c>
    </row>
    <row r="234" spans="1:6" ht="12.75" x14ac:dyDescent="0.2">
      <c r="A234" s="1">
        <v>9</v>
      </c>
      <c r="B234" s="1">
        <v>3</v>
      </c>
      <c r="C234" s="1" t="s">
        <v>7</v>
      </c>
      <c r="D234" s="1" t="s">
        <v>9</v>
      </c>
      <c r="E234" s="1">
        <v>4.2783410549163801</v>
      </c>
      <c r="F234" s="1">
        <f>Tabla1[[#This Row],[tiempo]]/(IF(Tabla1[[#This Row],[tamanho]]=$I$3,$L$3,IF(Tabla1[[#This Row],[tamanho]]=$I$4,$L$4,IF(Tabla1[[#This Row],[tamanho]]=$I$5,$L$5,IF(Tabla1[[#This Row],[tamanho]]=$I$6,$L$6,0))))*IF(C234="8_1",9,25))</f>
        <v>4.141134902750983E-7</v>
      </c>
    </row>
    <row r="235" spans="1:6" ht="12.75" x14ac:dyDescent="0.2">
      <c r="A235" s="1">
        <v>9</v>
      </c>
      <c r="B235" s="1">
        <v>3</v>
      </c>
      <c r="C235" s="1" t="s">
        <v>8</v>
      </c>
      <c r="D235" s="1" t="s">
        <v>9</v>
      </c>
      <c r="E235" s="1">
        <v>4.3249542713165203</v>
      </c>
      <c r="F235" s="1">
        <f>Tabla1[[#This Row],[tiempo]]/(IF(Tabla1[[#This Row],[tamanho]]=$I$3,$L$3,IF(Tabla1[[#This Row],[tamanho]]=$I$4,$L$4,IF(Tabla1[[#This Row],[tamanho]]=$I$5,$L$5,IF(Tabla1[[#This Row],[tamanho]]=$I$6,$L$6,0))))*IF(C235="8_1",9,25))</f>
        <v>4.1862532359755603E-7</v>
      </c>
    </row>
    <row r="236" spans="1:6" ht="12.75" x14ac:dyDescent="0.2">
      <c r="A236" s="1">
        <v>9</v>
      </c>
      <c r="B236" s="1">
        <v>4</v>
      </c>
      <c r="C236" s="1" t="s">
        <v>5</v>
      </c>
      <c r="D236" s="1" t="s">
        <v>6</v>
      </c>
      <c r="E236" s="1">
        <v>6.8190057277679399</v>
      </c>
      <c r="F236" s="1">
        <f>Tabla1[[#This Row],[tiempo]]/(IF(Tabla1[[#This Row],[tamanho]]=$I$3,$L$3,IF(Tabla1[[#This Row],[tamanho]]=$I$4,$L$4,IF(Tabla1[[#This Row],[tamanho]]=$I$5,$L$5,IF(Tabla1[[#This Row],[tamanho]]=$I$6,$L$6,0))))*IF(C236="8_1",9,25))</f>
        <v>1.0297148871169684E-6</v>
      </c>
    </row>
    <row r="237" spans="1:6" ht="12.75" x14ac:dyDescent="0.2">
      <c r="A237" s="1">
        <v>9</v>
      </c>
      <c r="B237" s="1">
        <v>4</v>
      </c>
      <c r="C237" s="1" t="s">
        <v>7</v>
      </c>
      <c r="D237" s="1" t="s">
        <v>6</v>
      </c>
      <c r="E237" s="1">
        <v>7.5766408443450901</v>
      </c>
      <c r="F237" s="1">
        <f>Tabla1[[#This Row],[tiempo]]/(IF(Tabla1[[#This Row],[tamanho]]=$I$3,$L$3,IF(Tabla1[[#This Row],[tamanho]]=$I$4,$L$4,IF(Tabla1[[#This Row],[tamanho]]=$I$5,$L$5,IF(Tabla1[[#This Row],[tamanho]]=$I$6,$L$6,0))))*IF(C237="8_1",9,25))</f>
        <v>4.118842051116992E-7</v>
      </c>
    </row>
    <row r="238" spans="1:6" ht="12.75" x14ac:dyDescent="0.2">
      <c r="A238" s="1">
        <v>9</v>
      </c>
      <c r="B238" s="1">
        <v>4</v>
      </c>
      <c r="C238" s="1" t="s">
        <v>8</v>
      </c>
      <c r="D238" s="1" t="s">
        <v>6</v>
      </c>
      <c r="E238" s="1">
        <v>7.6586277484893799</v>
      </c>
      <c r="F238" s="1">
        <f>Tabla1[[#This Row],[tiempo]]/(IF(Tabla1[[#This Row],[tamanho]]=$I$3,$L$3,IF(Tabla1[[#This Row],[tamanho]]=$I$4,$L$4,IF(Tabla1[[#This Row],[tamanho]]=$I$5,$L$5,IF(Tabla1[[#This Row],[tamanho]]=$I$6,$L$6,0))))*IF(C238="8_1",9,25))</f>
        <v>4.1634120809452419E-7</v>
      </c>
    </row>
    <row r="239" spans="1:6" ht="12.75" x14ac:dyDescent="0.2">
      <c r="A239" s="1">
        <v>9</v>
      </c>
      <c r="B239" s="1">
        <v>4</v>
      </c>
      <c r="C239" s="1" t="s">
        <v>5</v>
      </c>
      <c r="D239" s="1" t="s">
        <v>9</v>
      </c>
      <c r="E239" s="1">
        <v>6.8348121643066397</v>
      </c>
      <c r="F239" s="1">
        <f>Tabla1[[#This Row],[tiempo]]/(IF(Tabla1[[#This Row],[tamanho]]=$I$3,$L$3,IF(Tabla1[[#This Row],[tamanho]]=$I$4,$L$4,IF(Tabla1[[#This Row],[tamanho]]=$I$5,$L$5,IF(Tabla1[[#This Row],[tamanho]]=$I$6,$L$6,0))))*IF(C239="8_1",9,25))</f>
        <v>1.0321017633957035E-6</v>
      </c>
    </row>
    <row r="240" spans="1:6" ht="12.75" x14ac:dyDescent="0.2">
      <c r="A240" s="1">
        <v>9</v>
      </c>
      <c r="B240" s="1">
        <v>4</v>
      </c>
      <c r="C240" s="1" t="s">
        <v>7</v>
      </c>
      <c r="D240" s="1" t="s">
        <v>9</v>
      </c>
      <c r="E240" s="1">
        <v>7.6444411277770996</v>
      </c>
      <c r="F240" s="1">
        <f>Tabla1[[#This Row],[tiempo]]/(IF(Tabla1[[#This Row],[tamanho]]=$I$3,$L$3,IF(Tabla1[[#This Row],[tamanho]]=$I$4,$L$4,IF(Tabla1[[#This Row],[tamanho]]=$I$5,$L$5,IF(Tabla1[[#This Row],[tamanho]]=$I$6,$L$6,0))))*IF(C240="8_1",9,25))</f>
        <v>4.1556998967262158E-7</v>
      </c>
    </row>
    <row r="241" spans="1:6" ht="12.75" x14ac:dyDescent="0.2">
      <c r="A241" s="1">
        <v>9</v>
      </c>
      <c r="B241" s="1">
        <v>4</v>
      </c>
      <c r="C241" s="1" t="s">
        <v>8</v>
      </c>
      <c r="D241" s="1" t="s">
        <v>9</v>
      </c>
      <c r="E241" s="1">
        <v>7.7014086246490399</v>
      </c>
      <c r="F241" s="1">
        <f>Tabla1[[#This Row],[tiempo]]/(IF(Tabla1[[#This Row],[tamanho]]=$I$3,$L$3,IF(Tabla1[[#This Row],[tamanho]]=$I$4,$L$4,IF(Tabla1[[#This Row],[tamanho]]=$I$5,$L$5,IF(Tabla1[[#This Row],[tamanho]]=$I$6,$L$6,0))))*IF(C241="8_1",9,25))</f>
        <v>4.1866687820783767E-7</v>
      </c>
    </row>
    <row r="242" spans="1:6" ht="12.75" x14ac:dyDescent="0.2">
      <c r="A242" s="1">
        <v>10</v>
      </c>
      <c r="B242" s="1">
        <v>1</v>
      </c>
      <c r="C242" s="1" t="s">
        <v>5</v>
      </c>
      <c r="D242" s="1" t="s">
        <v>6</v>
      </c>
      <c r="E242" s="1">
        <v>0.40425825119018499</v>
      </c>
      <c r="F242" s="1">
        <f>Tabla1[[#This Row],[tiempo]]/(IF(Tabla1[[#This Row],[tamanho]]=$I$3,$L$3,IF(Tabla1[[#This Row],[tamanho]]=$I$4,$L$4,IF(Tabla1[[#This Row],[tamanho]]=$I$5,$L$5,IF(Tabla1[[#This Row],[tamanho]]=$I$6,$L$6,0))))*IF(C242="8_1",9,25))</f>
        <v>1.6660206767395909E-6</v>
      </c>
    </row>
    <row r="243" spans="1:6" ht="12.75" x14ac:dyDescent="0.2">
      <c r="A243" s="1">
        <v>10</v>
      </c>
      <c r="B243" s="1">
        <v>1</v>
      </c>
      <c r="C243" s="1" t="s">
        <v>7</v>
      </c>
      <c r="D243" s="1" t="s">
        <v>6</v>
      </c>
      <c r="E243" s="1">
        <v>0.45291638374328602</v>
      </c>
      <c r="F243" s="1">
        <f>Tabla1[[#This Row],[tiempo]]/(IF(Tabla1[[#This Row],[tamanho]]=$I$3,$L$3,IF(Tabla1[[#This Row],[tamanho]]=$I$4,$L$4,IF(Tabla1[[#This Row],[tamanho]]=$I$5,$L$5,IF(Tabla1[[#This Row],[tamanho]]=$I$6,$L$6,0))))*IF(C243="8_1",9,25))</f>
        <v>6.7195784094549316E-7</v>
      </c>
    </row>
    <row r="244" spans="1:6" ht="12.75" x14ac:dyDescent="0.2">
      <c r="A244" s="1">
        <v>10</v>
      </c>
      <c r="B244" s="1">
        <v>1</v>
      </c>
      <c r="C244" s="1" t="s">
        <v>8</v>
      </c>
      <c r="D244" s="1" t="s">
        <v>6</v>
      </c>
      <c r="E244" s="1">
        <v>0.45876336097717202</v>
      </c>
      <c r="F244" s="1">
        <f>Tabla1[[#This Row],[tiempo]]/(IF(Tabla1[[#This Row],[tamanho]]=$I$3,$L$3,IF(Tabla1[[#This Row],[tamanho]]=$I$4,$L$4,IF(Tabla1[[#This Row],[tamanho]]=$I$5,$L$5,IF(Tabla1[[#This Row],[tamanho]]=$I$6,$L$6,0))))*IF(C244="8_1",9,25))</f>
        <v>6.8063255958929124E-7</v>
      </c>
    </row>
    <row r="245" spans="1:6" ht="12.75" x14ac:dyDescent="0.2">
      <c r="A245" s="1">
        <v>10</v>
      </c>
      <c r="B245" s="1">
        <v>1</v>
      </c>
      <c r="C245" s="1" t="s">
        <v>5</v>
      </c>
      <c r="D245" s="1" t="s">
        <v>9</v>
      </c>
      <c r="E245" s="1">
        <v>0.40526008605956998</v>
      </c>
      <c r="F245" s="1">
        <f>Tabla1[[#This Row],[tiempo]]/(IF(Tabla1[[#This Row],[tamanho]]=$I$3,$L$3,IF(Tabla1[[#This Row],[tamanho]]=$I$4,$L$4,IF(Tabla1[[#This Row],[tamanho]]=$I$5,$L$5,IF(Tabla1[[#This Row],[tamanho]]=$I$6,$L$6,0))))*IF(C245="8_1",9,25))</f>
        <v>1.6701494177168255E-6</v>
      </c>
    </row>
    <row r="246" spans="1:6" ht="12.75" x14ac:dyDescent="0.2">
      <c r="A246" s="1">
        <v>10</v>
      </c>
      <c r="B246" s="1">
        <v>1</v>
      </c>
      <c r="C246" s="1" t="s">
        <v>7</v>
      </c>
      <c r="D246" s="1" t="s">
        <v>9</v>
      </c>
      <c r="E246" s="1">
        <v>0.45192813873290999</v>
      </c>
      <c r="F246" s="1">
        <f>Tabla1[[#This Row],[tiempo]]/(IF(Tabla1[[#This Row],[tamanho]]=$I$3,$L$3,IF(Tabla1[[#This Row],[tamanho]]=$I$4,$L$4,IF(Tabla1[[#This Row],[tamanho]]=$I$5,$L$5,IF(Tabla1[[#This Row],[tamanho]]=$I$6,$L$6,0))))*IF(C246="8_1",9,25))</f>
        <v>6.7049165644139309E-7</v>
      </c>
    </row>
    <row r="247" spans="1:6" ht="12.75" x14ac:dyDescent="0.2">
      <c r="A247" s="1">
        <v>10</v>
      </c>
      <c r="B247" s="1">
        <v>1</v>
      </c>
      <c r="C247" s="1" t="s">
        <v>8</v>
      </c>
      <c r="D247" s="1" t="s">
        <v>9</v>
      </c>
      <c r="E247" s="1">
        <v>0.45028376579284601</v>
      </c>
      <c r="F247" s="1">
        <f>Tabla1[[#This Row],[tiempo]]/(IF(Tabla1[[#This Row],[tamanho]]=$I$3,$L$3,IF(Tabla1[[#This Row],[tamanho]]=$I$4,$L$4,IF(Tabla1[[#This Row],[tamanho]]=$I$5,$L$5,IF(Tabla1[[#This Row],[tamanho]]=$I$6,$L$6,0))))*IF(C247="8_1",9,25))</f>
        <v>6.6805202446919033E-7</v>
      </c>
    </row>
    <row r="248" spans="1:6" ht="12.75" x14ac:dyDescent="0.2">
      <c r="A248" s="1">
        <v>10</v>
      </c>
      <c r="B248" s="1">
        <v>2</v>
      </c>
      <c r="C248" s="1" t="s">
        <v>5</v>
      </c>
      <c r="D248" s="1" t="s">
        <v>6</v>
      </c>
      <c r="E248" s="1">
        <v>1.65473985671997</v>
      </c>
      <c r="F248" s="1">
        <f>Tabla1[[#This Row],[tiempo]]/(IF(Tabla1[[#This Row],[tamanho]]=$I$3,$L$3,IF(Tabla1[[#This Row],[tamanho]]=$I$4,$L$4,IF(Tabla1[[#This Row],[tamanho]]=$I$5,$L$5,IF(Tabla1[[#This Row],[tamanho]]=$I$6,$L$6,0))))*IF(C248="8_1",9,25))</f>
        <v>1.0018416542975593E-6</v>
      </c>
    </row>
    <row r="249" spans="1:6" ht="12.75" x14ac:dyDescent="0.2">
      <c r="A249" s="1">
        <v>10</v>
      </c>
      <c r="B249" s="1">
        <v>2</v>
      </c>
      <c r="C249" s="1" t="s">
        <v>7</v>
      </c>
      <c r="D249" s="1" t="s">
        <v>6</v>
      </c>
      <c r="E249" s="1">
        <v>1.8625249862670801</v>
      </c>
      <c r="F249" s="1">
        <f>Tabla1[[#This Row],[tiempo]]/(IF(Tabla1[[#This Row],[tamanho]]=$I$3,$L$3,IF(Tabla1[[#This Row],[tamanho]]=$I$4,$L$4,IF(Tabla1[[#This Row],[tamanho]]=$I$5,$L$5,IF(Tabla1[[#This Row],[tamanho]]=$I$6,$L$6,0))))*IF(C249="8_1",9,25))</f>
        <v>4.0595132709257313E-7</v>
      </c>
    </row>
    <row r="250" spans="1:6" ht="12.75" x14ac:dyDescent="0.2">
      <c r="A250" s="1">
        <v>10</v>
      </c>
      <c r="B250" s="1">
        <v>2</v>
      </c>
      <c r="C250" s="1" t="s">
        <v>8</v>
      </c>
      <c r="D250" s="1" t="s">
        <v>6</v>
      </c>
      <c r="E250" s="1">
        <v>1.8817875385284399</v>
      </c>
      <c r="F250" s="1">
        <f>Tabla1[[#This Row],[tiempo]]/(IF(Tabla1[[#This Row],[tamanho]]=$I$3,$L$3,IF(Tabla1[[#This Row],[tamanho]]=$I$4,$L$4,IF(Tabla1[[#This Row],[tamanho]]=$I$5,$L$5,IF(Tabla1[[#This Row],[tamanho]]=$I$6,$L$6,0))))*IF(C250="8_1",9,25))</f>
        <v>4.1014974521385775E-7</v>
      </c>
    </row>
    <row r="251" spans="1:6" ht="12.75" x14ac:dyDescent="0.2">
      <c r="A251" s="1">
        <v>10</v>
      </c>
      <c r="B251" s="1">
        <v>2</v>
      </c>
      <c r="C251" s="1" t="s">
        <v>5</v>
      </c>
      <c r="D251" s="1" t="s">
        <v>9</v>
      </c>
      <c r="E251" s="1">
        <v>1.67634105682373</v>
      </c>
      <c r="F251" s="1">
        <f>Tabla1[[#This Row],[tiempo]]/(IF(Tabla1[[#This Row],[tamanho]]=$I$3,$L$3,IF(Tabla1[[#This Row],[tamanho]]=$I$4,$L$4,IF(Tabla1[[#This Row],[tamanho]]=$I$5,$L$5,IF(Tabla1[[#This Row],[tamanho]]=$I$6,$L$6,0))))*IF(C251="8_1",9,25))</f>
        <v>1.0149198320902066E-6</v>
      </c>
    </row>
    <row r="252" spans="1:6" ht="12.75" x14ac:dyDescent="0.2">
      <c r="A252" s="1">
        <v>10</v>
      </c>
      <c r="B252" s="1">
        <v>2</v>
      </c>
      <c r="C252" s="1" t="s">
        <v>7</v>
      </c>
      <c r="D252" s="1" t="s">
        <v>9</v>
      </c>
      <c r="E252" s="1">
        <v>1.8908622264862001</v>
      </c>
      <c r="F252" s="1">
        <f>Tabla1[[#This Row],[tiempo]]/(IF(Tabla1[[#This Row],[tamanho]]=$I$3,$L$3,IF(Tabla1[[#This Row],[tamanho]]=$I$4,$L$4,IF(Tabla1[[#This Row],[tamanho]]=$I$5,$L$5,IF(Tabla1[[#This Row],[tamanho]]=$I$6,$L$6,0))))*IF(C252="8_1",9,25))</f>
        <v>4.1212764169662493E-7</v>
      </c>
    </row>
    <row r="253" spans="1:6" ht="12.75" x14ac:dyDescent="0.2">
      <c r="A253" s="1">
        <v>10</v>
      </c>
      <c r="B253" s="1">
        <v>2</v>
      </c>
      <c r="C253" s="1" t="s">
        <v>8</v>
      </c>
      <c r="D253" s="1" t="s">
        <v>9</v>
      </c>
      <c r="E253" s="1">
        <v>1.8870439529418901</v>
      </c>
      <c r="F253" s="1">
        <f>Tabla1[[#This Row],[tiempo]]/(IF(Tabla1[[#This Row],[tamanho]]=$I$3,$L$3,IF(Tabla1[[#This Row],[tamanho]]=$I$4,$L$4,IF(Tabla1[[#This Row],[tamanho]]=$I$5,$L$5,IF(Tabla1[[#This Row],[tamanho]]=$I$6,$L$6,0))))*IF(C253="8_1",9,25))</f>
        <v>4.1129542026392259E-7</v>
      </c>
    </row>
    <row r="254" spans="1:6" ht="12.75" x14ac:dyDescent="0.2">
      <c r="A254" s="1">
        <v>10</v>
      </c>
      <c r="B254" s="1">
        <v>3</v>
      </c>
      <c r="C254" s="1" t="s">
        <v>5</v>
      </c>
      <c r="D254" s="1" t="s">
        <v>6</v>
      </c>
      <c r="E254" s="1">
        <v>3.9146816730499201</v>
      </c>
      <c r="F254" s="1">
        <f>Tabla1[[#This Row],[tiempo]]/(IF(Tabla1[[#This Row],[tamanho]]=$I$3,$L$3,IF(Tabla1[[#This Row],[tamanho]]=$I$4,$L$4,IF(Tabla1[[#This Row],[tamanho]]=$I$5,$L$5,IF(Tabla1[[#This Row],[tamanho]]=$I$6,$L$6,0))))*IF(C254="8_1",9,25))</f>
        <v>1.0525383489989909E-6</v>
      </c>
    </row>
    <row r="255" spans="1:6" ht="12.75" x14ac:dyDescent="0.2">
      <c r="A255" s="1">
        <v>10</v>
      </c>
      <c r="B255" s="1">
        <v>3</v>
      </c>
      <c r="C255" s="1" t="s">
        <v>7</v>
      </c>
      <c r="D255" s="1" t="s">
        <v>6</v>
      </c>
      <c r="E255" s="1">
        <v>4.3522362709045401</v>
      </c>
      <c r="F255" s="1">
        <f>Tabla1[[#This Row],[tiempo]]/(IF(Tabla1[[#This Row],[tamanho]]=$I$3,$L$3,IF(Tabla1[[#This Row],[tamanho]]=$I$4,$L$4,IF(Tabla1[[#This Row],[tamanho]]=$I$5,$L$5,IF(Tabla1[[#This Row],[tamanho]]=$I$6,$L$6,0))))*IF(C255="8_1",9,25))</f>
        <v>4.2126603034020709E-7</v>
      </c>
    </row>
    <row r="256" spans="1:6" ht="12.75" x14ac:dyDescent="0.2">
      <c r="A256" s="1">
        <v>10</v>
      </c>
      <c r="B256" s="1">
        <v>3</v>
      </c>
      <c r="C256" s="1" t="s">
        <v>8</v>
      </c>
      <c r="D256" s="1" t="s">
        <v>6</v>
      </c>
      <c r="E256" s="1">
        <v>4.3933823108673096</v>
      </c>
      <c r="F256" s="1">
        <f>Tabla1[[#This Row],[tiempo]]/(IF(Tabla1[[#This Row],[tamanho]]=$I$3,$L$3,IF(Tabla1[[#This Row],[tamanho]]=$I$4,$L$4,IF(Tabla1[[#This Row],[tamanho]]=$I$5,$L$5,IF(Tabla1[[#This Row],[tamanho]]=$I$6,$L$6,0))))*IF(C256="8_1",9,25))</f>
        <v>4.2524867922239496E-7</v>
      </c>
    </row>
    <row r="257" spans="1:6" ht="12.75" x14ac:dyDescent="0.2">
      <c r="A257" s="1">
        <v>10</v>
      </c>
      <c r="B257" s="1">
        <v>3</v>
      </c>
      <c r="C257" s="1" t="s">
        <v>5</v>
      </c>
      <c r="D257" s="1" t="s">
        <v>9</v>
      </c>
      <c r="E257" s="1">
        <v>3.8181343078613201</v>
      </c>
      <c r="F257" s="1">
        <f>Tabla1[[#This Row],[tiempo]]/(IF(Tabla1[[#This Row],[tamanho]]=$I$3,$L$3,IF(Tabla1[[#This Row],[tamanho]]=$I$4,$L$4,IF(Tabla1[[#This Row],[tamanho]]=$I$5,$L$5,IF(Tabla1[[#This Row],[tamanho]]=$I$6,$L$6,0))))*IF(C257="8_1",9,25))</f>
        <v>1.0265797110194589E-6</v>
      </c>
    </row>
    <row r="258" spans="1:6" ht="12.75" x14ac:dyDescent="0.2">
      <c r="A258" s="1">
        <v>10</v>
      </c>
      <c r="B258" s="1">
        <v>3</v>
      </c>
      <c r="C258" s="1" t="s">
        <v>7</v>
      </c>
      <c r="D258" s="1" t="s">
        <v>9</v>
      </c>
      <c r="E258" s="1">
        <v>4.4016489982604901</v>
      </c>
      <c r="F258" s="1">
        <f>Tabla1[[#This Row],[tiempo]]/(IF(Tabla1[[#This Row],[tamanho]]=$I$3,$L$3,IF(Tabla1[[#This Row],[tamanho]]=$I$4,$L$4,IF(Tabla1[[#This Row],[tamanho]]=$I$5,$L$5,IF(Tabla1[[#This Row],[tamanho]]=$I$6,$L$6,0))))*IF(C258="8_1",9,25))</f>
        <v>4.2604883674267239E-7</v>
      </c>
    </row>
    <row r="259" spans="1:6" ht="12.75" x14ac:dyDescent="0.2">
      <c r="A259" s="1">
        <v>10</v>
      </c>
      <c r="B259" s="1">
        <v>3</v>
      </c>
      <c r="C259" s="1" t="s">
        <v>8</v>
      </c>
      <c r="D259" s="1" t="s">
        <v>9</v>
      </c>
      <c r="E259" s="1">
        <v>4.3288297653198198</v>
      </c>
      <c r="F259" s="1">
        <f>Tabla1[[#This Row],[tiempo]]/(IF(Tabla1[[#This Row],[tamanho]]=$I$3,$L$3,IF(Tabla1[[#This Row],[tamanho]]=$I$4,$L$4,IF(Tabla1[[#This Row],[tamanho]]=$I$5,$L$5,IF(Tabla1[[#This Row],[tamanho]]=$I$6,$L$6,0))))*IF(C259="8_1",9,25))</f>
        <v>4.1900044431085268E-7</v>
      </c>
    </row>
    <row r="260" spans="1:6" ht="12.75" x14ac:dyDescent="0.2">
      <c r="A260" s="1">
        <v>10</v>
      </c>
      <c r="B260" s="1">
        <v>4</v>
      </c>
      <c r="C260" s="1" t="s">
        <v>5</v>
      </c>
      <c r="D260" s="1" t="s">
        <v>6</v>
      </c>
      <c r="E260" s="1">
        <v>6.9190204143524099</v>
      </c>
      <c r="F260" s="1">
        <f>Tabla1[[#This Row],[tiempo]]/(IF(Tabla1[[#This Row],[tamanho]]=$I$3,$L$3,IF(Tabla1[[#This Row],[tamanho]]=$I$4,$L$4,IF(Tabla1[[#This Row],[tamanho]]=$I$5,$L$5,IF(Tabla1[[#This Row],[tamanho]]=$I$6,$L$6,0))))*IF(C260="8_1",9,25))</f>
        <v>1.0448177651343588E-6</v>
      </c>
    </row>
    <row r="261" spans="1:6" ht="12.75" x14ac:dyDescent="0.2">
      <c r="A261" s="1">
        <v>10</v>
      </c>
      <c r="B261" s="1">
        <v>4</v>
      </c>
      <c r="C261" s="1" t="s">
        <v>7</v>
      </c>
      <c r="D261" s="1" t="s">
        <v>6</v>
      </c>
      <c r="E261" s="1">
        <v>7.5818908214569003</v>
      </c>
      <c r="F261" s="1">
        <f>Tabla1[[#This Row],[tiempo]]/(IF(Tabla1[[#This Row],[tamanho]]=$I$3,$L$3,IF(Tabla1[[#This Row],[tamanho]]=$I$4,$L$4,IF(Tabla1[[#This Row],[tamanho]]=$I$5,$L$5,IF(Tabla1[[#This Row],[tamanho]]=$I$6,$L$6,0))))*IF(C261="8_1",9,25))</f>
        <v>4.1216960634609535E-7</v>
      </c>
    </row>
    <row r="262" spans="1:6" ht="12.75" x14ac:dyDescent="0.2">
      <c r="A262" s="1">
        <v>10</v>
      </c>
      <c r="B262" s="1">
        <v>4</v>
      </c>
      <c r="C262" s="1" t="s">
        <v>8</v>
      </c>
      <c r="D262" s="1" t="s">
        <v>6</v>
      </c>
      <c r="E262" s="1">
        <v>7.6007885932922301</v>
      </c>
      <c r="F262" s="1">
        <f>Tabla1[[#This Row],[tiempo]]/(IF(Tabla1[[#This Row],[tamanho]]=$I$3,$L$3,IF(Tabla1[[#This Row],[tamanho]]=$I$4,$L$4,IF(Tabla1[[#This Row],[tamanho]]=$I$5,$L$5,IF(Tabla1[[#This Row],[tamanho]]=$I$6,$L$6,0))))*IF(C262="8_1",9,25))</f>
        <v>4.1319693414091708E-7</v>
      </c>
    </row>
    <row r="263" spans="1:6" ht="12.75" x14ac:dyDescent="0.2">
      <c r="A263" s="1">
        <v>10</v>
      </c>
      <c r="B263" s="1">
        <v>4</v>
      </c>
      <c r="C263" s="1" t="s">
        <v>5</v>
      </c>
      <c r="D263" s="1" t="s">
        <v>9</v>
      </c>
      <c r="E263" s="1">
        <v>6.7672204971313397</v>
      </c>
      <c r="F263" s="1">
        <f>Tabla1[[#This Row],[tiempo]]/(IF(Tabla1[[#This Row],[tamanho]]=$I$3,$L$3,IF(Tabla1[[#This Row],[tamanho]]=$I$4,$L$4,IF(Tabla1[[#This Row],[tamanho]]=$I$5,$L$5,IF(Tabla1[[#This Row],[tamanho]]=$I$6,$L$6,0))))*IF(C263="8_1",9,25))</f>
        <v>1.0218949753808408E-6</v>
      </c>
    </row>
    <row r="264" spans="1:6" ht="12.75" x14ac:dyDescent="0.2">
      <c r="A264" s="1">
        <v>10</v>
      </c>
      <c r="B264" s="1">
        <v>4</v>
      </c>
      <c r="C264" s="1" t="s">
        <v>7</v>
      </c>
      <c r="D264" s="1" t="s">
        <v>9</v>
      </c>
      <c r="E264" s="1">
        <v>7.5838739871978698</v>
      </c>
      <c r="F264" s="1">
        <f>Tabla1[[#This Row],[tiempo]]/(IF(Tabla1[[#This Row],[tamanho]]=$I$3,$L$3,IF(Tabla1[[#This Row],[tamanho]]=$I$4,$L$4,IF(Tabla1[[#This Row],[tamanho]]=$I$5,$L$5,IF(Tabla1[[#This Row],[tamanho]]=$I$6,$L$6,0))))*IF(C264="8_1",9,25))</f>
        <v>4.1227741594953376E-7</v>
      </c>
    </row>
    <row r="265" spans="1:6" ht="12.75" x14ac:dyDescent="0.2">
      <c r="A265" s="1">
        <v>10</v>
      </c>
      <c r="B265" s="1">
        <v>4</v>
      </c>
      <c r="C265" s="1" t="s">
        <v>8</v>
      </c>
      <c r="D265" s="1" t="s">
        <v>9</v>
      </c>
      <c r="E265" s="1">
        <v>7.6711044311523402</v>
      </c>
      <c r="F265" s="1">
        <f>Tabla1[[#This Row],[tiempo]]/(IF(Tabla1[[#This Row],[tamanho]]=$I$3,$L$3,IF(Tabla1[[#This Row],[tamanho]]=$I$4,$L$4,IF(Tabla1[[#This Row],[tamanho]]=$I$5,$L$5,IF(Tabla1[[#This Row],[tamanho]]=$I$6,$L$6,0))))*IF(C265="8_1",9,25))</f>
        <v>4.1701947021973765E-7</v>
      </c>
    </row>
    <row r="266" spans="1:6" ht="12.75" x14ac:dyDescent="0.2">
      <c r="A266" s="1">
        <v>11</v>
      </c>
      <c r="B266" s="1">
        <v>1</v>
      </c>
      <c r="C266" s="1" t="s">
        <v>5</v>
      </c>
      <c r="D266" s="1" t="s">
        <v>6</v>
      </c>
      <c r="E266" s="1">
        <v>0.408011674880981</v>
      </c>
      <c r="F266" s="1">
        <f>Tabla1[[#This Row],[tiempo]]/(IF(Tabla1[[#This Row],[tamanho]]=$I$3,$L$3,IF(Tabla1[[#This Row],[tamanho]]=$I$4,$L$4,IF(Tabla1[[#This Row],[tamanho]]=$I$5,$L$5,IF(Tabla1[[#This Row],[tamanho]]=$I$6,$L$6,0))))*IF(C266="8_1",9,25))</f>
        <v>1.6814892082018924E-6</v>
      </c>
    </row>
    <row r="267" spans="1:6" ht="12.75" x14ac:dyDescent="0.2">
      <c r="A267" s="1">
        <v>11</v>
      </c>
      <c r="B267" s="1">
        <v>1</v>
      </c>
      <c r="C267" s="1" t="s">
        <v>7</v>
      </c>
      <c r="D267" s="1" t="s">
        <v>6</v>
      </c>
      <c r="E267" s="1">
        <v>0.45611381530761702</v>
      </c>
      <c r="F267" s="1">
        <f>Tabla1[[#This Row],[tiempo]]/(IF(Tabla1[[#This Row],[tamanho]]=$I$3,$L$3,IF(Tabla1[[#This Row],[tamanho]]=$I$4,$L$4,IF(Tabla1[[#This Row],[tamanho]]=$I$5,$L$5,IF(Tabla1[[#This Row],[tamanho]]=$I$6,$L$6,0))))*IF(C267="8_1",9,25))</f>
        <v>6.7670162873427104E-7</v>
      </c>
    </row>
    <row r="268" spans="1:6" ht="12.75" x14ac:dyDescent="0.2">
      <c r="A268" s="1">
        <v>11</v>
      </c>
      <c r="B268" s="1">
        <v>1</v>
      </c>
      <c r="C268" s="1" t="s">
        <v>8</v>
      </c>
      <c r="D268" s="1" t="s">
        <v>6</v>
      </c>
      <c r="E268" s="1">
        <v>0.456717729568481</v>
      </c>
      <c r="F268" s="1">
        <f>Tabla1[[#This Row],[tiempo]]/(IF(Tabla1[[#This Row],[tamanho]]=$I$3,$L$3,IF(Tabla1[[#This Row],[tamanho]]=$I$4,$L$4,IF(Tabla1[[#This Row],[tamanho]]=$I$5,$L$5,IF(Tabla1[[#This Row],[tamanho]]=$I$6,$L$6,0))))*IF(C268="8_1",9,25))</f>
        <v>6.7759761072435144E-7</v>
      </c>
    </row>
    <row r="269" spans="1:6" ht="12.75" x14ac:dyDescent="0.2">
      <c r="A269" s="1">
        <v>11</v>
      </c>
      <c r="B269" s="1">
        <v>1</v>
      </c>
      <c r="C269" s="1" t="s">
        <v>5</v>
      </c>
      <c r="D269" s="1" t="s">
        <v>9</v>
      </c>
      <c r="E269" s="1">
        <v>0.40862727165222101</v>
      </c>
      <c r="F269" s="1">
        <f>Tabla1[[#This Row],[tiempo]]/(IF(Tabla1[[#This Row],[tamanho]]=$I$3,$L$3,IF(Tabla1[[#This Row],[tamanho]]=$I$4,$L$4,IF(Tabla1[[#This Row],[tamanho]]=$I$5,$L$5,IF(Tabla1[[#This Row],[tamanho]]=$I$6,$L$6,0))))*IF(C269="8_1",9,25))</f>
        <v>1.6840261927814292E-6</v>
      </c>
    </row>
    <row r="270" spans="1:6" ht="12.75" x14ac:dyDescent="0.2">
      <c r="A270" s="1">
        <v>11</v>
      </c>
      <c r="B270" s="1">
        <v>1</v>
      </c>
      <c r="C270" s="1" t="s">
        <v>7</v>
      </c>
      <c r="D270" s="1" t="s">
        <v>9</v>
      </c>
      <c r="E270" s="1">
        <v>0.45490837097167902</v>
      </c>
      <c r="F270" s="1">
        <f>Tabla1[[#This Row],[tiempo]]/(IF(Tabla1[[#This Row],[tamanho]]=$I$3,$L$3,IF(Tabla1[[#This Row],[tamanho]]=$I$4,$L$4,IF(Tabla1[[#This Row],[tamanho]]=$I$5,$L$5,IF(Tabla1[[#This Row],[tamanho]]=$I$6,$L$6,0))))*IF(C270="8_1",9,25))</f>
        <v>6.7491320199054787E-7</v>
      </c>
    </row>
    <row r="271" spans="1:6" ht="12.75" x14ac:dyDescent="0.2">
      <c r="A271" s="1">
        <v>11</v>
      </c>
      <c r="B271" s="1">
        <v>1</v>
      </c>
      <c r="C271" s="1" t="s">
        <v>8</v>
      </c>
      <c r="D271" s="1" t="s">
        <v>9</v>
      </c>
      <c r="E271" s="1">
        <v>0.46341180801391602</v>
      </c>
      <c r="F271" s="1">
        <f>Tabla1[[#This Row],[tiempo]]/(IF(Tabla1[[#This Row],[tamanho]]=$I$3,$L$3,IF(Tabla1[[#This Row],[tamanho]]=$I$4,$L$4,IF(Tabla1[[#This Row],[tamanho]]=$I$5,$L$5,IF(Tabla1[[#This Row],[tamanho]]=$I$6,$L$6,0))))*IF(C271="8_1",9,25))</f>
        <v>6.875291094750432E-7</v>
      </c>
    </row>
    <row r="272" spans="1:6" ht="12.75" x14ac:dyDescent="0.2">
      <c r="A272" s="1">
        <v>11</v>
      </c>
      <c r="B272" s="1">
        <v>2</v>
      </c>
      <c r="C272" s="1" t="s">
        <v>5</v>
      </c>
      <c r="D272" s="1" t="s">
        <v>6</v>
      </c>
      <c r="E272" s="1">
        <v>1.6944613456726001</v>
      </c>
      <c r="F272" s="1">
        <f>Tabla1[[#This Row],[tiempo]]/(IF(Tabla1[[#This Row],[tamanho]]=$I$3,$L$3,IF(Tabla1[[#This Row],[tamanho]]=$I$4,$L$4,IF(Tabla1[[#This Row],[tamanho]]=$I$5,$L$5,IF(Tabla1[[#This Row],[tamanho]]=$I$6,$L$6,0))))*IF(C272="8_1",9,25))</f>
        <v>1.0258905354808204E-6</v>
      </c>
    </row>
    <row r="273" spans="1:6" ht="12.75" x14ac:dyDescent="0.2">
      <c r="A273" s="1">
        <v>11</v>
      </c>
      <c r="B273" s="1">
        <v>2</v>
      </c>
      <c r="C273" s="1" t="s">
        <v>7</v>
      </c>
      <c r="D273" s="1" t="s">
        <v>6</v>
      </c>
      <c r="E273" s="1">
        <v>1.8625903129577599</v>
      </c>
      <c r="F273" s="1">
        <f>Tabla1[[#This Row],[tiempo]]/(IF(Tabla1[[#This Row],[tamanho]]=$I$3,$L$3,IF(Tabla1[[#This Row],[tamanho]]=$I$4,$L$4,IF(Tabla1[[#This Row],[tamanho]]=$I$5,$L$5,IF(Tabla1[[#This Row],[tamanho]]=$I$6,$L$6,0))))*IF(C273="8_1",9,25))</f>
        <v>4.0596556553606866E-7</v>
      </c>
    </row>
    <row r="274" spans="1:6" ht="12.75" x14ac:dyDescent="0.2">
      <c r="A274" s="1">
        <v>11</v>
      </c>
      <c r="B274" s="1">
        <v>2</v>
      </c>
      <c r="C274" s="1" t="s">
        <v>8</v>
      </c>
      <c r="D274" s="1" t="s">
        <v>6</v>
      </c>
      <c r="E274" s="1">
        <v>1.8824088573455799</v>
      </c>
      <c r="F274" s="1">
        <f>Tabla1[[#This Row],[tiempo]]/(IF(Tabla1[[#This Row],[tamanho]]=$I$3,$L$3,IF(Tabla1[[#This Row],[tamanho]]=$I$4,$L$4,IF(Tabla1[[#This Row],[tamanho]]=$I$5,$L$5,IF(Tabla1[[#This Row],[tamanho]]=$I$6,$L$6,0))))*IF(C274="8_1",9,25))</f>
        <v>4.1028516632242017E-7</v>
      </c>
    </row>
    <row r="275" spans="1:6" ht="12.75" x14ac:dyDescent="0.2">
      <c r="A275" s="1">
        <v>11</v>
      </c>
      <c r="B275" s="1">
        <v>2</v>
      </c>
      <c r="C275" s="1" t="s">
        <v>5</v>
      </c>
      <c r="D275" s="1" t="s">
        <v>9</v>
      </c>
      <c r="E275" s="1">
        <v>1.68889284133911</v>
      </c>
      <c r="F275" s="1">
        <f>Tabla1[[#This Row],[tiempo]]/(IF(Tabla1[[#This Row],[tamanho]]=$I$3,$L$3,IF(Tabla1[[#This Row],[tamanho]]=$I$4,$L$4,IF(Tabla1[[#This Row],[tamanho]]=$I$5,$L$5,IF(Tabla1[[#This Row],[tamanho]]=$I$6,$L$6,0))))*IF(C275="8_1",9,25))</f>
        <v>1.0225191538278244E-6</v>
      </c>
    </row>
    <row r="276" spans="1:6" ht="12.75" x14ac:dyDescent="0.2">
      <c r="A276" s="1">
        <v>11</v>
      </c>
      <c r="B276" s="1">
        <v>2</v>
      </c>
      <c r="C276" s="1" t="s">
        <v>7</v>
      </c>
      <c r="D276" s="1" t="s">
        <v>9</v>
      </c>
      <c r="E276" s="1">
        <v>1.88133597373962</v>
      </c>
      <c r="F276" s="1">
        <f>Tabla1[[#This Row],[tiempo]]/(IF(Tabla1[[#This Row],[tamanho]]=$I$3,$L$3,IF(Tabla1[[#This Row],[tamanho]]=$I$4,$L$4,IF(Tabla1[[#This Row],[tamanho]]=$I$5,$L$5,IF(Tabla1[[#This Row],[tamanho]]=$I$6,$L$6,0))))*IF(C276="8_1",9,25))</f>
        <v>4.1005132327233139E-7</v>
      </c>
    </row>
    <row r="277" spans="1:6" ht="12.75" x14ac:dyDescent="0.2">
      <c r="A277" s="1">
        <v>11</v>
      </c>
      <c r="B277" s="1">
        <v>2</v>
      </c>
      <c r="C277" s="1" t="s">
        <v>8</v>
      </c>
      <c r="D277" s="1" t="s">
        <v>9</v>
      </c>
      <c r="E277" s="1">
        <v>1.8818783760070801</v>
      </c>
      <c r="F277" s="1">
        <f>Tabla1[[#This Row],[tiempo]]/(IF(Tabla1[[#This Row],[tamanho]]=$I$3,$L$3,IF(Tabla1[[#This Row],[tamanho]]=$I$4,$L$4,IF(Tabla1[[#This Row],[tamanho]]=$I$5,$L$5,IF(Tabla1[[#This Row],[tamanho]]=$I$6,$L$6,0))))*IF(C277="8_1",9,25))</f>
        <v>4.1016954392543237E-7</v>
      </c>
    </row>
    <row r="278" spans="1:6" ht="12.75" x14ac:dyDescent="0.2">
      <c r="A278" s="1">
        <v>11</v>
      </c>
      <c r="B278" s="1">
        <v>3</v>
      </c>
      <c r="C278" s="1" t="s">
        <v>5</v>
      </c>
      <c r="D278" s="1" t="s">
        <v>6</v>
      </c>
      <c r="E278" s="1">
        <v>3.7944948673248202</v>
      </c>
      <c r="F278" s="1">
        <f>Tabla1[[#This Row],[tiempo]]/(IF(Tabla1[[#This Row],[tamanho]]=$I$3,$L$3,IF(Tabla1[[#This Row],[tamanho]]=$I$4,$L$4,IF(Tabla1[[#This Row],[tamanho]]=$I$5,$L$5,IF(Tabla1[[#This Row],[tamanho]]=$I$6,$L$6,0))))*IF(C278="8_1",9,25))</f>
        <v>1.0202237873986853E-6</v>
      </c>
    </row>
    <row r="279" spans="1:6" ht="12.75" x14ac:dyDescent="0.2">
      <c r="A279" s="1">
        <v>11</v>
      </c>
      <c r="B279" s="1">
        <v>3</v>
      </c>
      <c r="C279" s="1" t="s">
        <v>7</v>
      </c>
      <c r="D279" s="1" t="s">
        <v>6</v>
      </c>
      <c r="E279" s="1">
        <v>4.2542541027069003</v>
      </c>
      <c r="F279" s="1">
        <f>Tabla1[[#This Row],[tiempo]]/(IF(Tabla1[[#This Row],[tamanho]]=$I$3,$L$3,IF(Tabla1[[#This Row],[tamanho]]=$I$4,$L$4,IF(Tabla1[[#This Row],[tamanho]]=$I$5,$L$5,IF(Tabla1[[#This Row],[tamanho]]=$I$6,$L$6,0))))*IF(C279="8_1",9,25))</f>
        <v>4.1178204177168952E-7</v>
      </c>
    </row>
    <row r="280" spans="1:6" ht="12.75" x14ac:dyDescent="0.2">
      <c r="A280" s="1">
        <v>11</v>
      </c>
      <c r="B280" s="1">
        <v>3</v>
      </c>
      <c r="C280" s="1" t="s">
        <v>8</v>
      </c>
      <c r="D280" s="1" t="s">
        <v>6</v>
      </c>
      <c r="E280" s="1">
        <v>4.2846806049346897</v>
      </c>
      <c r="F280" s="1">
        <f>Tabla1[[#This Row],[tiempo]]/(IF(Tabla1[[#This Row],[tamanho]]=$I$3,$L$3,IF(Tabla1[[#This Row],[tamanho]]=$I$4,$L$4,IF(Tabla1[[#This Row],[tamanho]]=$I$5,$L$5,IF(Tabla1[[#This Row],[tamanho]]=$I$6,$L$6,0))))*IF(C280="8_1",9,25))</f>
        <v>4.1472711437639314E-7</v>
      </c>
    </row>
    <row r="281" spans="1:6" ht="12.75" x14ac:dyDescent="0.2">
      <c r="A281" s="1">
        <v>11</v>
      </c>
      <c r="B281" s="1">
        <v>3</v>
      </c>
      <c r="C281" s="1" t="s">
        <v>5</v>
      </c>
      <c r="D281" s="1" t="s">
        <v>9</v>
      </c>
      <c r="E281" s="1">
        <v>3.77985167503356</v>
      </c>
      <c r="F281" s="1">
        <f>Tabla1[[#This Row],[tiempo]]/(IF(Tabla1[[#This Row],[tamanho]]=$I$3,$L$3,IF(Tabla1[[#This Row],[tamanho]]=$I$4,$L$4,IF(Tabla1[[#This Row],[tamanho]]=$I$5,$L$5,IF(Tabla1[[#This Row],[tamanho]]=$I$6,$L$6,0))))*IF(C281="8_1",9,25))</f>
        <v>1.0162866801890691E-6</v>
      </c>
    </row>
    <row r="282" spans="1:6" ht="12.75" x14ac:dyDescent="0.2">
      <c r="A282" s="1">
        <v>11</v>
      </c>
      <c r="B282" s="1">
        <v>3</v>
      </c>
      <c r="C282" s="1" t="s">
        <v>7</v>
      </c>
      <c r="D282" s="1" t="s">
        <v>9</v>
      </c>
      <c r="E282" s="1">
        <v>4.2509992122650102</v>
      </c>
      <c r="F282" s="1">
        <f>Tabla1[[#This Row],[tiempo]]/(IF(Tabla1[[#This Row],[tamanho]]=$I$3,$L$3,IF(Tabla1[[#This Row],[tamanho]]=$I$4,$L$4,IF(Tabla1[[#This Row],[tamanho]]=$I$5,$L$5,IF(Tabla1[[#This Row],[tamanho]]=$I$6,$L$6,0))))*IF(C282="8_1",9,25))</f>
        <v>4.1146699114247301E-7</v>
      </c>
    </row>
    <row r="283" spans="1:6" ht="12.75" x14ac:dyDescent="0.2">
      <c r="A283" s="1">
        <v>11</v>
      </c>
      <c r="B283" s="1">
        <v>3</v>
      </c>
      <c r="C283" s="1" t="s">
        <v>8</v>
      </c>
      <c r="D283" s="1" t="s">
        <v>9</v>
      </c>
      <c r="E283" s="1">
        <v>4.3004279136657697</v>
      </c>
      <c r="F283" s="1">
        <f>Tabla1[[#This Row],[tiempo]]/(IF(Tabla1[[#This Row],[tamanho]]=$I$3,$L$3,IF(Tabla1[[#This Row],[tamanho]]=$I$4,$L$4,IF(Tabla1[[#This Row],[tamanho]]=$I$5,$L$5,IF(Tabla1[[#This Row],[tamanho]]=$I$6,$L$6,0))))*IF(C283="8_1",9,25))</f>
        <v>4.1625134372074927E-7</v>
      </c>
    </row>
    <row r="284" spans="1:6" ht="12.75" x14ac:dyDescent="0.2">
      <c r="A284" s="1">
        <v>11</v>
      </c>
      <c r="B284" s="1">
        <v>4</v>
      </c>
      <c r="C284" s="1" t="s">
        <v>5</v>
      </c>
      <c r="D284" s="1" t="s">
        <v>6</v>
      </c>
      <c r="E284" s="1">
        <v>6.9379022121429399</v>
      </c>
      <c r="F284" s="1">
        <f>Tabla1[[#This Row],[tiempo]]/(IF(Tabla1[[#This Row],[tamanho]]=$I$3,$L$3,IF(Tabla1[[#This Row],[tamanho]]=$I$4,$L$4,IF(Tabla1[[#This Row],[tamanho]]=$I$5,$L$5,IF(Tabla1[[#This Row],[tamanho]]=$I$6,$L$6,0))))*IF(C284="8_1",9,25))</f>
        <v>1.0476690412670752E-6</v>
      </c>
    </row>
    <row r="285" spans="1:6" ht="12.75" x14ac:dyDescent="0.2">
      <c r="A285" s="1">
        <v>11</v>
      </c>
      <c r="B285" s="1">
        <v>4</v>
      </c>
      <c r="C285" s="1" t="s">
        <v>7</v>
      </c>
      <c r="D285" s="1" t="s">
        <v>6</v>
      </c>
      <c r="E285" s="1">
        <v>7.62481188774108</v>
      </c>
      <c r="F285" s="1">
        <f>Tabla1[[#This Row],[tiempo]]/(IF(Tabla1[[#This Row],[tamanho]]=$I$3,$L$3,IF(Tabla1[[#This Row],[tamanho]]=$I$4,$L$4,IF(Tabla1[[#This Row],[tamanho]]=$I$5,$L$5,IF(Tabla1[[#This Row],[tamanho]]=$I$6,$L$6,0))))*IF(C285="8_1",9,25))</f>
        <v>4.1450289752779373E-7</v>
      </c>
    </row>
    <row r="286" spans="1:6" ht="12.75" x14ac:dyDescent="0.2">
      <c r="A286" s="1">
        <v>11</v>
      </c>
      <c r="B286" s="1">
        <v>4</v>
      </c>
      <c r="C286" s="1" t="s">
        <v>8</v>
      </c>
      <c r="D286" s="1" t="s">
        <v>6</v>
      </c>
      <c r="E286" s="1">
        <v>7.6348254680633501</v>
      </c>
      <c r="F286" s="1">
        <f>Tabla1[[#This Row],[tiempo]]/(IF(Tabla1[[#This Row],[tamanho]]=$I$3,$L$3,IF(Tabla1[[#This Row],[tamanho]]=$I$4,$L$4,IF(Tabla1[[#This Row],[tamanho]]=$I$5,$L$5,IF(Tabla1[[#This Row],[tamanho]]=$I$6,$L$6,0))))*IF(C286="8_1",9,25))</f>
        <v>4.1504725955525324E-7</v>
      </c>
    </row>
    <row r="287" spans="1:6" ht="12.75" x14ac:dyDescent="0.2">
      <c r="A287" s="1">
        <v>11</v>
      </c>
      <c r="B287" s="1">
        <v>4</v>
      </c>
      <c r="C287" s="1" t="s">
        <v>5</v>
      </c>
      <c r="D287" s="1" t="s">
        <v>9</v>
      </c>
      <c r="E287" s="1">
        <v>6.9081161022186199</v>
      </c>
      <c r="F287" s="1">
        <f>Tabla1[[#This Row],[tiempo]]/(IF(Tabla1[[#This Row],[tamanho]]=$I$3,$L$3,IF(Tabla1[[#This Row],[tamanho]]=$I$4,$L$4,IF(Tabla1[[#This Row],[tamanho]]=$I$5,$L$5,IF(Tabla1[[#This Row],[tamanho]]=$I$6,$L$6,0))))*IF(C287="8_1",9,25))</f>
        <v>1.0431711420068535E-6</v>
      </c>
    </row>
    <row r="288" spans="1:6" ht="12.75" x14ac:dyDescent="0.2">
      <c r="A288" s="1">
        <v>11</v>
      </c>
      <c r="B288" s="1">
        <v>4</v>
      </c>
      <c r="C288" s="1" t="s">
        <v>7</v>
      </c>
      <c r="D288" s="1" t="s">
        <v>9</v>
      </c>
      <c r="E288" s="1">
        <v>7.6260426044464102</v>
      </c>
      <c r="F288" s="1">
        <f>Tabla1[[#This Row],[tiempo]]/(IF(Tabla1[[#This Row],[tamanho]]=$I$3,$L$3,IF(Tabla1[[#This Row],[tamanho]]=$I$4,$L$4,IF(Tabla1[[#This Row],[tamanho]]=$I$5,$L$5,IF(Tabla1[[#This Row],[tamanho]]=$I$6,$L$6,0))))*IF(C288="8_1",9,25))</f>
        <v>4.1456980221316903E-7</v>
      </c>
    </row>
    <row r="289" spans="1:6" ht="12.75" x14ac:dyDescent="0.2">
      <c r="A289" s="1">
        <v>11</v>
      </c>
      <c r="B289" s="1">
        <v>4</v>
      </c>
      <c r="C289" s="1" t="s">
        <v>8</v>
      </c>
      <c r="D289" s="1" t="s">
        <v>9</v>
      </c>
      <c r="E289" s="1">
        <v>7.7160842418670601</v>
      </c>
      <c r="F289" s="1">
        <f>Tabla1[[#This Row],[tiempo]]/(IF(Tabla1[[#This Row],[tamanho]]=$I$3,$L$3,IF(Tabla1[[#This Row],[tamanho]]=$I$4,$L$4,IF(Tabla1[[#This Row],[tamanho]]=$I$5,$L$5,IF(Tabla1[[#This Row],[tamanho]]=$I$6,$L$6,0))))*IF(C289="8_1",9,25))</f>
        <v>4.1946467964208137E-7</v>
      </c>
    </row>
    <row r="290" spans="1:6" ht="12.75" x14ac:dyDescent="0.2">
      <c r="A290" s="1">
        <v>12</v>
      </c>
      <c r="B290" s="1">
        <v>1</v>
      </c>
      <c r="C290" s="1" t="s">
        <v>5</v>
      </c>
      <c r="D290" s="1" t="s">
        <v>6</v>
      </c>
      <c r="E290" s="1">
        <v>0.405400991439819</v>
      </c>
      <c r="F290" s="1">
        <f>Tabla1[[#This Row],[tiempo]]/(IF(Tabla1[[#This Row],[tamanho]]=$I$3,$L$3,IF(Tabla1[[#This Row],[tamanho]]=$I$4,$L$4,IF(Tabla1[[#This Row],[tamanho]]=$I$5,$L$5,IF(Tabla1[[#This Row],[tamanho]]=$I$6,$L$6,0))))*IF(C290="8_1",9,25))</f>
        <v>1.6707301140322812E-6</v>
      </c>
    </row>
    <row r="291" spans="1:6" ht="12.75" x14ac:dyDescent="0.2">
      <c r="A291" s="1">
        <v>12</v>
      </c>
      <c r="B291" s="1">
        <v>1</v>
      </c>
      <c r="C291" s="1" t="s">
        <v>7</v>
      </c>
      <c r="D291" s="1" t="s">
        <v>6</v>
      </c>
      <c r="E291" s="1">
        <v>0.45355296134948703</v>
      </c>
      <c r="F291" s="1">
        <f>Tabla1[[#This Row],[tiempo]]/(IF(Tabla1[[#This Row],[tamanho]]=$I$3,$L$3,IF(Tabla1[[#This Row],[tamanho]]=$I$4,$L$4,IF(Tabla1[[#This Row],[tamanho]]=$I$5,$L$5,IF(Tabla1[[#This Row],[tamanho]]=$I$6,$L$6,0))))*IF(C291="8_1",9,25))</f>
        <v>6.7290228307479255E-7</v>
      </c>
    </row>
    <row r="292" spans="1:6" ht="12.75" x14ac:dyDescent="0.2">
      <c r="A292" s="1">
        <v>12</v>
      </c>
      <c r="B292" s="1">
        <v>1</v>
      </c>
      <c r="C292" s="1" t="s">
        <v>8</v>
      </c>
      <c r="D292" s="1" t="s">
        <v>6</v>
      </c>
      <c r="E292" s="1">
        <v>0.45717930793762201</v>
      </c>
      <c r="F292" s="1">
        <f>Tabla1[[#This Row],[tiempo]]/(IF(Tabla1[[#This Row],[tamanho]]=$I$3,$L$3,IF(Tabla1[[#This Row],[tamanho]]=$I$4,$L$4,IF(Tabla1[[#This Row],[tamanho]]=$I$5,$L$5,IF(Tabla1[[#This Row],[tamanho]]=$I$6,$L$6,0))))*IF(C292="8_1",9,25))</f>
        <v>6.7828241969900525E-7</v>
      </c>
    </row>
    <row r="293" spans="1:6" ht="12.75" x14ac:dyDescent="0.2">
      <c r="A293" s="1">
        <v>12</v>
      </c>
      <c r="B293" s="1">
        <v>1</v>
      </c>
      <c r="C293" s="1" t="s">
        <v>5</v>
      </c>
      <c r="D293" s="1" t="s">
        <v>9</v>
      </c>
      <c r="E293" s="1">
        <v>0.403576850891113</v>
      </c>
      <c r="F293" s="1">
        <f>Tabla1[[#This Row],[tiempo]]/(IF(Tabla1[[#This Row],[tamanho]]=$I$3,$L$3,IF(Tabla1[[#This Row],[tamanho]]=$I$4,$L$4,IF(Tabla1[[#This Row],[tamanho]]=$I$5,$L$5,IF(Tabla1[[#This Row],[tamanho]]=$I$6,$L$6,0))))*IF(C293="8_1",9,25))</f>
        <v>1.6632125040330394E-6</v>
      </c>
    </row>
    <row r="294" spans="1:6" ht="12.75" x14ac:dyDescent="0.2">
      <c r="A294" s="1">
        <v>12</v>
      </c>
      <c r="B294" s="1">
        <v>1</v>
      </c>
      <c r="C294" s="1" t="s">
        <v>7</v>
      </c>
      <c r="D294" s="1" t="s">
        <v>9</v>
      </c>
      <c r="E294" s="1">
        <v>0.450141191482543</v>
      </c>
      <c r="F294" s="1">
        <f>Tabla1[[#This Row],[tiempo]]/(IF(Tabla1[[#This Row],[tamanho]]=$I$3,$L$3,IF(Tabla1[[#This Row],[tamanho]]=$I$4,$L$4,IF(Tabla1[[#This Row],[tamanho]]=$I$5,$L$5,IF(Tabla1[[#This Row],[tamanho]]=$I$6,$L$6,0))))*IF(C294="8_1",9,25))</f>
        <v>6.6784049773011829E-7</v>
      </c>
    </row>
    <row r="295" spans="1:6" ht="12.75" x14ac:dyDescent="0.2">
      <c r="A295" s="1">
        <v>12</v>
      </c>
      <c r="B295" s="1">
        <v>1</v>
      </c>
      <c r="C295" s="1" t="s">
        <v>8</v>
      </c>
      <c r="D295" s="1" t="s">
        <v>9</v>
      </c>
      <c r="E295" s="1">
        <v>0.45986533164978</v>
      </c>
      <c r="F295" s="1">
        <f>Tabla1[[#This Row],[tiempo]]/(IF(Tabla1[[#This Row],[tamanho]]=$I$3,$L$3,IF(Tabla1[[#This Row],[tamanho]]=$I$4,$L$4,IF(Tabla1[[#This Row],[tamanho]]=$I$5,$L$5,IF(Tabla1[[#This Row],[tamanho]]=$I$6,$L$6,0))))*IF(C295="8_1",9,25))</f>
        <v>6.8226747027154782E-7</v>
      </c>
    </row>
    <row r="296" spans="1:6" ht="12.75" x14ac:dyDescent="0.2">
      <c r="A296" s="1">
        <v>12</v>
      </c>
      <c r="B296" s="1">
        <v>2</v>
      </c>
      <c r="C296" s="1" t="s">
        <v>5</v>
      </c>
      <c r="D296" s="1" t="s">
        <v>6</v>
      </c>
      <c r="E296" s="1">
        <v>1.6560649871826101</v>
      </c>
      <c r="F296" s="1">
        <f>Tabla1[[#This Row],[tiempo]]/(IF(Tabla1[[#This Row],[tamanho]]=$I$3,$L$3,IF(Tabla1[[#This Row],[tamanho]]=$I$4,$L$4,IF(Tabla1[[#This Row],[tamanho]]=$I$5,$L$5,IF(Tabla1[[#This Row],[tamanho]]=$I$6,$L$6,0))))*IF(C296="8_1",9,25))</f>
        <v>1.0026439380459442E-6</v>
      </c>
    </row>
    <row r="297" spans="1:6" ht="12.75" x14ac:dyDescent="0.2">
      <c r="A297" s="1">
        <v>12</v>
      </c>
      <c r="B297" s="1">
        <v>2</v>
      </c>
      <c r="C297" s="1" t="s">
        <v>7</v>
      </c>
      <c r="D297" s="1" t="s">
        <v>6</v>
      </c>
      <c r="E297" s="1">
        <v>1.8498218059539699</v>
      </c>
      <c r="F297" s="1">
        <f>Tabla1[[#This Row],[tiempo]]/(IF(Tabla1[[#This Row],[tamanho]]=$I$3,$L$3,IF(Tabla1[[#This Row],[tamanho]]=$I$4,$L$4,IF(Tabla1[[#This Row],[tamanho]]=$I$5,$L$5,IF(Tabla1[[#This Row],[tamanho]]=$I$6,$L$6,0))))*IF(C297="8_1",9,25))</f>
        <v>4.0318257341440696E-7</v>
      </c>
    </row>
    <row r="298" spans="1:6" ht="12.75" x14ac:dyDescent="0.2">
      <c r="A298" s="1">
        <v>12</v>
      </c>
      <c r="B298" s="1">
        <v>2</v>
      </c>
      <c r="C298" s="1" t="s">
        <v>8</v>
      </c>
      <c r="D298" s="1" t="s">
        <v>6</v>
      </c>
      <c r="E298" s="1">
        <v>1.86535143852233</v>
      </c>
      <c r="F298" s="1">
        <f>Tabla1[[#This Row],[tiempo]]/(IF(Tabla1[[#This Row],[tamanho]]=$I$3,$L$3,IF(Tabla1[[#This Row],[tamanho]]=$I$4,$L$4,IF(Tabla1[[#This Row],[tamanho]]=$I$5,$L$5,IF(Tabla1[[#This Row],[tamanho]]=$I$6,$L$6,0))))*IF(C298="8_1",9,25))</f>
        <v>4.0656737361675001E-7</v>
      </c>
    </row>
    <row r="299" spans="1:6" ht="12.75" x14ac:dyDescent="0.2">
      <c r="A299" s="1">
        <v>12</v>
      </c>
      <c r="B299" s="1">
        <v>2</v>
      </c>
      <c r="C299" s="1" t="s">
        <v>5</v>
      </c>
      <c r="D299" s="1" t="s">
        <v>9</v>
      </c>
      <c r="E299" s="1">
        <v>1.66114830970764</v>
      </c>
      <c r="F299" s="1">
        <f>Tabla1[[#This Row],[tiempo]]/(IF(Tabla1[[#This Row],[tamanho]]=$I$3,$L$3,IF(Tabla1[[#This Row],[tamanho]]=$I$4,$L$4,IF(Tabla1[[#This Row],[tamanho]]=$I$5,$L$5,IF(Tabla1[[#This Row],[tamanho]]=$I$6,$L$6,0))))*IF(C299="8_1",9,25))</f>
        <v>1.0057215724107191E-6</v>
      </c>
    </row>
    <row r="300" spans="1:6" ht="12.75" x14ac:dyDescent="0.2">
      <c r="A300" s="1">
        <v>12</v>
      </c>
      <c r="B300" s="1">
        <v>2</v>
      </c>
      <c r="C300" s="1" t="s">
        <v>7</v>
      </c>
      <c r="D300" s="1" t="s">
        <v>9</v>
      </c>
      <c r="E300" s="1">
        <v>1.8516526222228999</v>
      </c>
      <c r="F300" s="1">
        <f>Tabla1[[#This Row],[tiempo]]/(IF(Tabla1[[#This Row],[tamanho]]=$I$3,$L$3,IF(Tabla1[[#This Row],[tamanho]]=$I$4,$L$4,IF(Tabla1[[#This Row],[tamanho]]=$I$5,$L$5,IF(Tabla1[[#This Row],[tamanho]]=$I$6,$L$6,0))))*IF(C300="8_1",9,25))</f>
        <v>4.0358161358810386E-7</v>
      </c>
    </row>
    <row r="301" spans="1:6" ht="12.75" x14ac:dyDescent="0.2">
      <c r="A301" s="1">
        <v>12</v>
      </c>
      <c r="B301" s="1">
        <v>2</v>
      </c>
      <c r="C301" s="1" t="s">
        <v>8</v>
      </c>
      <c r="D301" s="1" t="s">
        <v>9</v>
      </c>
      <c r="E301" s="1">
        <v>1.8754911422729399</v>
      </c>
      <c r="F301" s="1">
        <f>Tabla1[[#This Row],[tiempo]]/(IF(Tabla1[[#This Row],[tamanho]]=$I$3,$L$3,IF(Tabla1[[#This Row],[tamanho]]=$I$4,$L$4,IF(Tabla1[[#This Row],[tamanho]]=$I$5,$L$5,IF(Tabla1[[#This Row],[tamanho]]=$I$6,$L$6,0))))*IF(C301="8_1",9,25))</f>
        <v>4.087773983005721E-7</v>
      </c>
    </row>
    <row r="302" spans="1:6" ht="12.75" x14ac:dyDescent="0.2">
      <c r="A302" s="1">
        <v>12</v>
      </c>
      <c r="B302" s="1">
        <v>3</v>
      </c>
      <c r="C302" s="1" t="s">
        <v>5</v>
      </c>
      <c r="D302" s="1" t="s">
        <v>6</v>
      </c>
      <c r="E302" s="1">
        <v>3.79329180717468</v>
      </c>
      <c r="F302" s="1">
        <f>Tabla1[[#This Row],[tiempo]]/(IF(Tabla1[[#This Row],[tamanho]]=$I$3,$L$3,IF(Tabla1[[#This Row],[tamanho]]=$I$4,$L$4,IF(Tabla1[[#This Row],[tamanho]]=$I$5,$L$5,IF(Tabla1[[#This Row],[tamanho]]=$I$6,$L$6,0))))*IF(C302="8_1",9,25))</f>
        <v>1.0199003212653104E-6</v>
      </c>
    </row>
    <row r="303" spans="1:6" ht="12.75" x14ac:dyDescent="0.2">
      <c r="A303" s="1">
        <v>12</v>
      </c>
      <c r="B303" s="1">
        <v>3</v>
      </c>
      <c r="C303" s="1" t="s">
        <v>7</v>
      </c>
      <c r="D303" s="1" t="s">
        <v>6</v>
      </c>
      <c r="E303" s="1">
        <v>4.3122494220733598</v>
      </c>
      <c r="F303" s="1">
        <f>Tabla1[[#This Row],[tiempo]]/(IF(Tabla1[[#This Row],[tamanho]]=$I$3,$L$3,IF(Tabla1[[#This Row],[tamanho]]=$I$4,$L$4,IF(Tabla1[[#This Row],[tamanho]]=$I$5,$L$5,IF(Tabla1[[#This Row],[tamanho]]=$I$6,$L$6,0))))*IF(C303="8_1",9,25))</f>
        <v>4.173955830518699E-7</v>
      </c>
    </row>
    <row r="304" spans="1:6" ht="12.75" x14ac:dyDescent="0.2">
      <c r="A304" s="1">
        <v>12</v>
      </c>
      <c r="B304" s="1">
        <v>3</v>
      </c>
      <c r="C304" s="1" t="s">
        <v>8</v>
      </c>
      <c r="D304" s="1" t="s">
        <v>6</v>
      </c>
      <c r="E304" s="1">
        <v>4.2947068214416504</v>
      </c>
      <c r="F304" s="1">
        <f>Tabla1[[#This Row],[tiempo]]/(IF(Tabla1[[#This Row],[tamanho]]=$I$3,$L$3,IF(Tabla1[[#This Row],[tamanho]]=$I$4,$L$4,IF(Tabla1[[#This Row],[tamanho]]=$I$5,$L$5,IF(Tabla1[[#This Row],[tamanho]]=$I$6,$L$6,0))))*IF(C304="8_1",9,25))</f>
        <v>4.1569758200827584E-7</v>
      </c>
    </row>
    <row r="305" spans="1:6" ht="12.75" x14ac:dyDescent="0.2">
      <c r="A305" s="1">
        <v>12</v>
      </c>
      <c r="B305" s="1">
        <v>3</v>
      </c>
      <c r="C305" s="1" t="s">
        <v>5</v>
      </c>
      <c r="D305" s="1" t="s">
        <v>9</v>
      </c>
      <c r="E305" s="1">
        <v>3.8263731002807599</v>
      </c>
      <c r="F305" s="1">
        <f>Tabla1[[#This Row],[tiempo]]/(IF(Tabla1[[#This Row],[tamanho]]=$I$3,$L$3,IF(Tabla1[[#This Row],[tamanho]]=$I$4,$L$4,IF(Tabla1[[#This Row],[tamanho]]=$I$5,$L$5,IF(Tabla1[[#This Row],[tamanho]]=$I$6,$L$6,0))))*IF(C305="8_1",9,25))</f>
        <v>1.0287948706914703E-6</v>
      </c>
    </row>
    <row r="306" spans="1:6" ht="12.75" x14ac:dyDescent="0.2">
      <c r="A306" s="1">
        <v>12</v>
      </c>
      <c r="B306" s="1">
        <v>3</v>
      </c>
      <c r="C306" s="1" t="s">
        <v>7</v>
      </c>
      <c r="D306" s="1" t="s">
        <v>9</v>
      </c>
      <c r="E306" s="1">
        <v>4.3402698040008501</v>
      </c>
      <c r="F306" s="1">
        <f>Tabla1[[#This Row],[tiempo]]/(IF(Tabla1[[#This Row],[tamanho]]=$I$3,$L$3,IF(Tabla1[[#This Row],[tamanho]]=$I$4,$L$4,IF(Tabla1[[#This Row],[tamanho]]=$I$5,$L$5,IF(Tabla1[[#This Row],[tamanho]]=$I$6,$L$6,0))))*IF(C306="8_1",9,25))</f>
        <v>4.2010776004054174E-7</v>
      </c>
    </row>
    <row r="307" spans="1:6" ht="12.75" x14ac:dyDescent="0.2">
      <c r="A307" s="1">
        <v>12</v>
      </c>
      <c r="B307" s="1">
        <v>3</v>
      </c>
      <c r="C307" s="1" t="s">
        <v>8</v>
      </c>
      <c r="D307" s="1" t="s">
        <v>9</v>
      </c>
      <c r="E307" s="1">
        <v>4.3131787776947004</v>
      </c>
      <c r="F307" s="1">
        <f>Tabla1[[#This Row],[tiempo]]/(IF(Tabla1[[#This Row],[tamanho]]=$I$3,$L$3,IF(Tabla1[[#This Row],[tamanho]]=$I$4,$L$4,IF(Tabla1[[#This Row],[tamanho]]=$I$5,$L$5,IF(Tabla1[[#This Row],[tamanho]]=$I$6,$L$6,0))))*IF(C307="8_1",9,25))</f>
        <v>4.1748553817585841E-7</v>
      </c>
    </row>
    <row r="308" spans="1:6" ht="12.75" x14ac:dyDescent="0.2">
      <c r="A308" s="1">
        <v>12</v>
      </c>
      <c r="B308" s="1">
        <v>4</v>
      </c>
      <c r="C308" s="1" t="s">
        <v>5</v>
      </c>
      <c r="D308" s="1" t="s">
        <v>6</v>
      </c>
      <c r="E308" s="1">
        <v>6.7732214927673304</v>
      </c>
      <c r="F308" s="1">
        <f>Tabla1[[#This Row],[tiempo]]/(IF(Tabla1[[#This Row],[tamanho]]=$I$3,$L$3,IF(Tabla1[[#This Row],[tamanho]]=$I$4,$L$4,IF(Tabla1[[#This Row],[tamanho]]=$I$5,$L$5,IF(Tabla1[[#This Row],[tamanho]]=$I$6,$L$6,0))))*IF(C308="8_1",9,25))</f>
        <v>1.0228011653432191E-6</v>
      </c>
    </row>
    <row r="309" spans="1:6" ht="12.75" x14ac:dyDescent="0.2">
      <c r="A309" s="1">
        <v>12</v>
      </c>
      <c r="B309" s="1">
        <v>4</v>
      </c>
      <c r="C309" s="1" t="s">
        <v>7</v>
      </c>
      <c r="D309" s="1" t="s">
        <v>6</v>
      </c>
      <c r="E309" s="1">
        <v>7.6300172805786097</v>
      </c>
      <c r="F309" s="1">
        <f>Tabla1[[#This Row],[tiempo]]/(IF(Tabla1[[#This Row],[tamanho]]=$I$3,$L$3,IF(Tabla1[[#This Row],[tamanho]]=$I$4,$L$4,IF(Tabla1[[#This Row],[tamanho]]=$I$5,$L$5,IF(Tabla1[[#This Row],[tamanho]]=$I$6,$L$6,0))))*IF(C309="8_1",9,25))</f>
        <v>4.1478587505506825E-7</v>
      </c>
    </row>
    <row r="310" spans="1:6" ht="12.75" x14ac:dyDescent="0.2">
      <c r="A310" s="1">
        <v>12</v>
      </c>
      <c r="B310" s="1">
        <v>4</v>
      </c>
      <c r="C310" s="1" t="s">
        <v>8</v>
      </c>
      <c r="D310" s="1" t="s">
        <v>6</v>
      </c>
      <c r="E310" s="1">
        <v>7.5972125530242902</v>
      </c>
      <c r="F310" s="1">
        <f>Tabla1[[#This Row],[tiempo]]/(IF(Tabla1[[#This Row],[tamanho]]=$I$3,$L$3,IF(Tabla1[[#This Row],[tamanho]]=$I$4,$L$4,IF(Tabla1[[#This Row],[tamanho]]=$I$5,$L$5,IF(Tabla1[[#This Row],[tamanho]]=$I$6,$L$6,0))))*IF(C310="8_1",9,25))</f>
        <v>4.1300253209211105E-7</v>
      </c>
    </row>
    <row r="311" spans="1:6" ht="12.75" x14ac:dyDescent="0.2">
      <c r="A311" s="1">
        <v>12</v>
      </c>
      <c r="B311" s="1">
        <v>4</v>
      </c>
      <c r="C311" s="1" t="s">
        <v>5</v>
      </c>
      <c r="D311" s="1" t="s">
        <v>9</v>
      </c>
      <c r="E311" s="1">
        <v>6.78954625129699</v>
      </c>
      <c r="F311" s="1">
        <f>Tabla1[[#This Row],[tiempo]]/(IF(Tabla1[[#This Row],[tamanho]]=$I$3,$L$3,IF(Tabla1[[#This Row],[tamanho]]=$I$4,$L$4,IF(Tabla1[[#This Row],[tamanho]]=$I$5,$L$5,IF(Tabla1[[#This Row],[tamanho]]=$I$6,$L$6,0))))*IF(C311="8_1",9,25))</f>
        <v>1.0252663116647905E-6</v>
      </c>
    </row>
    <row r="312" spans="1:6" ht="12.75" x14ac:dyDescent="0.2">
      <c r="A312" s="1">
        <v>12</v>
      </c>
      <c r="B312" s="1">
        <v>4</v>
      </c>
      <c r="C312" s="1" t="s">
        <v>7</v>
      </c>
      <c r="D312" s="1" t="s">
        <v>9</v>
      </c>
      <c r="E312" s="1">
        <v>7.5799400806427002</v>
      </c>
      <c r="F312" s="1">
        <f>Tabla1[[#This Row],[tiempo]]/(IF(Tabla1[[#This Row],[tamanho]]=$I$3,$L$3,IF(Tabla1[[#This Row],[tamanho]]=$I$4,$L$4,IF(Tabla1[[#This Row],[tamanho]]=$I$5,$L$5,IF(Tabla1[[#This Row],[tamanho]]=$I$6,$L$6,0))))*IF(C312="8_1",9,25))</f>
        <v>4.1206355943874654E-7</v>
      </c>
    </row>
    <row r="313" spans="1:6" ht="12.75" x14ac:dyDescent="0.2">
      <c r="A313" s="1">
        <v>12</v>
      </c>
      <c r="B313" s="1">
        <v>4</v>
      </c>
      <c r="C313" s="1" t="s">
        <v>8</v>
      </c>
      <c r="D313" s="1" t="s">
        <v>9</v>
      </c>
      <c r="E313" s="1">
        <v>7.7136073112487704</v>
      </c>
      <c r="F313" s="1">
        <f>Tabla1[[#This Row],[tiempo]]/(IF(Tabla1[[#This Row],[tamanho]]=$I$3,$L$3,IF(Tabla1[[#This Row],[tamanho]]=$I$4,$L$4,IF(Tabla1[[#This Row],[tamanho]]=$I$5,$L$5,IF(Tabla1[[#This Row],[tamanho]]=$I$6,$L$6,0))))*IF(C313="8_1",9,25))</f>
        <v>4.1933002780628894E-7</v>
      </c>
    </row>
    <row r="314" spans="1:6" ht="12.75" x14ac:dyDescent="0.2">
      <c r="A314" s="1">
        <v>13</v>
      </c>
      <c r="B314" s="1">
        <v>1</v>
      </c>
      <c r="C314" s="1" t="s">
        <v>5</v>
      </c>
      <c r="D314" s="1" t="s">
        <v>6</v>
      </c>
      <c r="E314" s="1">
        <v>0.40680837631225503</v>
      </c>
      <c r="F314" s="1">
        <f>Tabla1[[#This Row],[tiempo]]/(IF(Tabla1[[#This Row],[tamanho]]=$I$3,$L$3,IF(Tabla1[[#This Row],[tamanho]]=$I$4,$L$4,IF(Tabla1[[#This Row],[tamanho]]=$I$5,$L$5,IF(Tabla1[[#This Row],[tamanho]]=$I$6,$L$6,0))))*IF(C314="8_1",9,25))</f>
        <v>1.6765301992270935E-6</v>
      </c>
    </row>
    <row r="315" spans="1:6" ht="12.75" x14ac:dyDescent="0.2">
      <c r="A315" s="1">
        <v>13</v>
      </c>
      <c r="B315" s="1">
        <v>1</v>
      </c>
      <c r="C315" s="1" t="s">
        <v>7</v>
      </c>
      <c r="D315" s="1" t="s">
        <v>6</v>
      </c>
      <c r="E315" s="1">
        <v>0.45527768135070801</v>
      </c>
      <c r="F315" s="1">
        <f>Tabla1[[#This Row],[tiempo]]/(IF(Tabla1[[#This Row],[tamanho]]=$I$3,$L$3,IF(Tabla1[[#This Row],[tamanho]]=$I$4,$L$4,IF(Tabla1[[#This Row],[tamanho]]=$I$5,$L$5,IF(Tabla1[[#This Row],[tamanho]]=$I$6,$L$6,0))))*IF(C315="8_1",9,25))</f>
        <v>6.7546111991500017E-7</v>
      </c>
    </row>
    <row r="316" spans="1:6" ht="12.75" x14ac:dyDescent="0.2">
      <c r="A316" s="1">
        <v>13</v>
      </c>
      <c r="B316" s="1">
        <v>1</v>
      </c>
      <c r="C316" s="1" t="s">
        <v>8</v>
      </c>
      <c r="D316" s="1" t="s">
        <v>6</v>
      </c>
      <c r="E316" s="1">
        <v>0.458261728286743</v>
      </c>
      <c r="F316" s="1">
        <f>Tabla1[[#This Row],[tiempo]]/(IF(Tabla1[[#This Row],[tamanho]]=$I$3,$L$3,IF(Tabla1[[#This Row],[tamanho]]=$I$4,$L$4,IF(Tabla1[[#This Row],[tamanho]]=$I$5,$L$5,IF(Tabla1[[#This Row],[tamanho]]=$I$6,$L$6,0))))*IF(C316="8_1",9,25))</f>
        <v>6.7988832504245831E-7</v>
      </c>
    </row>
    <row r="317" spans="1:6" ht="12.75" x14ac:dyDescent="0.2">
      <c r="A317" s="1">
        <v>13</v>
      </c>
      <c r="B317" s="1">
        <v>1</v>
      </c>
      <c r="C317" s="1" t="s">
        <v>5</v>
      </c>
      <c r="D317" s="1" t="s">
        <v>9</v>
      </c>
      <c r="E317" s="1">
        <v>0.40496873855590798</v>
      </c>
      <c r="F317" s="1">
        <f>Tabla1[[#This Row],[tiempo]]/(IF(Tabla1[[#This Row],[tamanho]]=$I$3,$L$3,IF(Tabla1[[#This Row],[tamanho]]=$I$4,$L$4,IF(Tabla1[[#This Row],[tamanho]]=$I$5,$L$5,IF(Tabla1[[#This Row],[tamanho]]=$I$6,$L$6,0))))*IF(C317="8_1",9,25))</f>
        <v>1.6689487224588108E-6</v>
      </c>
    </row>
    <row r="318" spans="1:6" ht="12.75" x14ac:dyDescent="0.2">
      <c r="A318" s="1">
        <v>13</v>
      </c>
      <c r="B318" s="1">
        <v>1</v>
      </c>
      <c r="C318" s="1" t="s">
        <v>7</v>
      </c>
      <c r="D318" s="1" t="s">
        <v>9</v>
      </c>
      <c r="E318" s="1">
        <v>0.45369720458984297</v>
      </c>
      <c r="F318" s="1">
        <f>Tabla1[[#This Row],[tiempo]]/(IF(Tabla1[[#This Row],[tamanho]]=$I$3,$L$3,IF(Tabla1[[#This Row],[tamanho]]=$I$4,$L$4,IF(Tabla1[[#This Row],[tamanho]]=$I$5,$L$5,IF(Tabla1[[#This Row],[tamanho]]=$I$6,$L$6,0))))*IF(C318="8_1",9,25))</f>
        <v>6.7311628587937092E-7</v>
      </c>
    </row>
    <row r="319" spans="1:6" ht="12.75" x14ac:dyDescent="0.2">
      <c r="A319" s="1">
        <v>13</v>
      </c>
      <c r="B319" s="1">
        <v>1</v>
      </c>
      <c r="C319" s="1" t="s">
        <v>8</v>
      </c>
      <c r="D319" s="1" t="s">
        <v>9</v>
      </c>
      <c r="E319" s="1">
        <v>0.45632815361022899</v>
      </c>
      <c r="F319" s="1">
        <f>Tabla1[[#This Row],[tiempo]]/(IF(Tabla1[[#This Row],[tamanho]]=$I$3,$L$3,IF(Tabla1[[#This Row],[tamanho]]=$I$4,$L$4,IF(Tabla1[[#This Row],[tamanho]]=$I$5,$L$5,IF(Tabla1[[#This Row],[tamanho]]=$I$6,$L$6,0))))*IF(C319="8_1",9,25))</f>
        <v>6.7701962629016583E-7</v>
      </c>
    </row>
    <row r="320" spans="1:6" ht="12.75" x14ac:dyDescent="0.2">
      <c r="A320" s="1">
        <v>13</v>
      </c>
      <c r="B320" s="1">
        <v>2</v>
      </c>
      <c r="C320" s="1" t="s">
        <v>5</v>
      </c>
      <c r="D320" s="1" t="s">
        <v>6</v>
      </c>
      <c r="E320" s="1">
        <v>1.6633880138397199</v>
      </c>
      <c r="F320" s="1">
        <f>Tabla1[[#This Row],[tiempo]]/(IF(Tabla1[[#This Row],[tamanho]]=$I$3,$L$3,IF(Tabla1[[#This Row],[tamanho]]=$I$4,$L$4,IF(Tabla1[[#This Row],[tamanho]]=$I$5,$L$5,IF(Tabla1[[#This Row],[tamanho]]=$I$6,$L$6,0))))*IF(C320="8_1",9,25))</f>
        <v>1.0070775734061069E-6</v>
      </c>
    </row>
    <row r="321" spans="1:6" ht="12.75" x14ac:dyDescent="0.2">
      <c r="A321" s="1">
        <v>13</v>
      </c>
      <c r="B321" s="1">
        <v>2</v>
      </c>
      <c r="C321" s="1" t="s">
        <v>7</v>
      </c>
      <c r="D321" s="1" t="s">
        <v>6</v>
      </c>
      <c r="E321" s="1">
        <v>1.85834884643554</v>
      </c>
      <c r="F321" s="1">
        <f>Tabla1[[#This Row],[tiempo]]/(IF(Tabla1[[#This Row],[tamanho]]=$I$3,$L$3,IF(Tabla1[[#This Row],[tamanho]]=$I$4,$L$4,IF(Tabla1[[#This Row],[tamanho]]=$I$5,$L$5,IF(Tabla1[[#This Row],[tamanho]]=$I$6,$L$6,0))))*IF(C321="8_1",9,25))</f>
        <v>4.050411060113861E-7</v>
      </c>
    </row>
    <row r="322" spans="1:6" ht="12.75" x14ac:dyDescent="0.2">
      <c r="A322" s="1">
        <v>13</v>
      </c>
      <c r="B322" s="1">
        <v>2</v>
      </c>
      <c r="C322" s="1" t="s">
        <v>8</v>
      </c>
      <c r="D322" s="1" t="s">
        <v>6</v>
      </c>
      <c r="E322" s="1">
        <v>1.8732059001922601</v>
      </c>
      <c r="F322" s="1">
        <f>Tabla1[[#This Row],[tiempo]]/(IF(Tabla1[[#This Row],[tamanho]]=$I$3,$L$3,IF(Tabla1[[#This Row],[tamanho]]=$I$4,$L$4,IF(Tabla1[[#This Row],[tamanho]]=$I$5,$L$5,IF(Tabla1[[#This Row],[tamanho]]=$I$6,$L$6,0))))*IF(C322="8_1",9,25))</f>
        <v>4.082793126038862E-7</v>
      </c>
    </row>
    <row r="323" spans="1:6" ht="12.75" x14ac:dyDescent="0.2">
      <c r="A323" s="1">
        <v>13</v>
      </c>
      <c r="B323" s="1">
        <v>2</v>
      </c>
      <c r="C323" s="1" t="s">
        <v>5</v>
      </c>
      <c r="D323" s="1" t="s">
        <v>9</v>
      </c>
      <c r="E323" s="1">
        <v>1.66498947143554</v>
      </c>
      <c r="F323" s="1">
        <f>Tabla1[[#This Row],[tiempo]]/(IF(Tabla1[[#This Row],[tamanho]]=$I$3,$L$3,IF(Tabla1[[#This Row],[tamanho]]=$I$4,$L$4,IF(Tabla1[[#This Row],[tamanho]]=$I$5,$L$5,IF(Tabla1[[#This Row],[tamanho]]=$I$6,$L$6,0))))*IF(C323="8_1",9,25))</f>
        <v>1.008047155978599E-6</v>
      </c>
    </row>
    <row r="324" spans="1:6" ht="12.75" x14ac:dyDescent="0.2">
      <c r="A324" s="1">
        <v>13</v>
      </c>
      <c r="B324" s="1">
        <v>2</v>
      </c>
      <c r="C324" s="1" t="s">
        <v>7</v>
      </c>
      <c r="D324" s="1" t="s">
        <v>9</v>
      </c>
      <c r="E324" s="1">
        <v>1.8577618598937899</v>
      </c>
      <c r="F324" s="1">
        <f>Tabla1[[#This Row],[tiempo]]/(IF(Tabla1[[#This Row],[tamanho]]=$I$3,$L$3,IF(Tabla1[[#This Row],[tamanho]]=$I$4,$L$4,IF(Tabla1[[#This Row],[tamanho]]=$I$5,$L$5,IF(Tabla1[[#This Row],[tamanho]]=$I$6,$L$6,0))))*IF(C324="8_1",9,25))</f>
        <v>4.0491316788042631E-7</v>
      </c>
    </row>
    <row r="325" spans="1:6" ht="12.75" x14ac:dyDescent="0.2">
      <c r="A325" s="1">
        <v>13</v>
      </c>
      <c r="B325" s="1">
        <v>2</v>
      </c>
      <c r="C325" s="1" t="s">
        <v>8</v>
      </c>
      <c r="D325" s="1" t="s">
        <v>9</v>
      </c>
      <c r="E325" s="1">
        <v>1.8897609710693299</v>
      </c>
      <c r="F325" s="1">
        <f>Tabla1[[#This Row],[tiempo]]/(IF(Tabla1[[#This Row],[tamanho]]=$I$3,$L$3,IF(Tabla1[[#This Row],[tamanho]]=$I$4,$L$4,IF(Tabla1[[#This Row],[tamanho]]=$I$5,$L$5,IF(Tabla1[[#This Row],[tamanho]]=$I$6,$L$6,0))))*IF(C325="8_1",9,25))</f>
        <v>4.1188761479699002E-7</v>
      </c>
    </row>
    <row r="326" spans="1:6" ht="12.75" x14ac:dyDescent="0.2">
      <c r="A326" s="1">
        <v>13</v>
      </c>
      <c r="B326" s="1">
        <v>3</v>
      </c>
      <c r="C326" s="1" t="s">
        <v>5</v>
      </c>
      <c r="D326" s="1" t="s">
        <v>6</v>
      </c>
      <c r="E326" s="1">
        <v>3.7856760025024401</v>
      </c>
      <c r="F326" s="1">
        <f>Tabla1[[#This Row],[tiempo]]/(IF(Tabla1[[#This Row],[tamanho]]=$I$3,$L$3,IF(Tabla1[[#This Row],[tamanho]]=$I$4,$L$4,IF(Tabla1[[#This Row],[tamanho]]=$I$5,$L$5,IF(Tabla1[[#This Row],[tamanho]]=$I$6,$L$6,0))))*IF(C326="8_1",9,25))</f>
        <v>1.0178526639727131E-6</v>
      </c>
    </row>
    <row r="327" spans="1:6" ht="12.75" x14ac:dyDescent="0.2">
      <c r="A327" s="1">
        <v>13</v>
      </c>
      <c r="B327" s="1">
        <v>3</v>
      </c>
      <c r="C327" s="1" t="s">
        <v>7</v>
      </c>
      <c r="D327" s="1" t="s">
        <v>6</v>
      </c>
      <c r="E327" s="1">
        <v>4.24942874908447</v>
      </c>
      <c r="F327" s="1">
        <f>Tabla1[[#This Row],[tiempo]]/(IF(Tabla1[[#This Row],[tamanho]]=$I$3,$L$3,IF(Tabla1[[#This Row],[tamanho]]=$I$4,$L$4,IF(Tabla1[[#This Row],[tamanho]]=$I$5,$L$5,IF(Tabla1[[#This Row],[tamanho]]=$I$6,$L$6,0))))*IF(C327="8_1",9,25))</f>
        <v>4.1131498129082861E-7</v>
      </c>
    </row>
    <row r="328" spans="1:6" ht="12.75" x14ac:dyDescent="0.2">
      <c r="A328" s="1">
        <v>13</v>
      </c>
      <c r="B328" s="1">
        <v>3</v>
      </c>
      <c r="C328" s="1" t="s">
        <v>8</v>
      </c>
      <c r="D328" s="1" t="s">
        <v>6</v>
      </c>
      <c r="E328" s="1">
        <v>4.2824933528900102</v>
      </c>
      <c r="F328" s="1">
        <f>Tabla1[[#This Row],[tiempo]]/(IF(Tabla1[[#This Row],[tamanho]]=$I$3,$L$3,IF(Tabla1[[#This Row],[tamanho]]=$I$4,$L$4,IF(Tabla1[[#This Row],[tamanho]]=$I$5,$L$5,IF(Tabla1[[#This Row],[tamanho]]=$I$6,$L$6,0))))*IF(C328="8_1",9,25))</f>
        <v>4.1451540367668333E-7</v>
      </c>
    </row>
    <row r="329" spans="1:6" ht="12.75" x14ac:dyDescent="0.2">
      <c r="A329" s="1">
        <v>13</v>
      </c>
      <c r="B329" s="1">
        <v>3</v>
      </c>
      <c r="C329" s="1" t="s">
        <v>5</v>
      </c>
      <c r="D329" s="1" t="s">
        <v>9</v>
      </c>
      <c r="E329" s="1">
        <v>3.8040187358856201</v>
      </c>
      <c r="F329" s="1">
        <f>Tabla1[[#This Row],[tiempo]]/(IF(Tabla1[[#This Row],[tamanho]]=$I$3,$L$3,IF(Tabla1[[#This Row],[tamanho]]=$I$4,$L$4,IF(Tabla1[[#This Row],[tamanho]]=$I$5,$L$5,IF(Tabla1[[#This Row],[tamanho]]=$I$6,$L$6,0))))*IF(C329="8_1",9,25))</f>
        <v>1.0227844647993737E-6</v>
      </c>
    </row>
    <row r="330" spans="1:6" ht="12.75" x14ac:dyDescent="0.2">
      <c r="A330" s="1">
        <v>13</v>
      </c>
      <c r="B330" s="1">
        <v>3</v>
      </c>
      <c r="C330" s="1" t="s">
        <v>7</v>
      </c>
      <c r="D330" s="1" t="s">
        <v>9</v>
      </c>
      <c r="E330" s="1">
        <v>4.2443780899047798</v>
      </c>
      <c r="F330" s="1">
        <f>Tabla1[[#This Row],[tiempo]]/(IF(Tabla1[[#This Row],[tamanho]]=$I$3,$L$3,IF(Tabla1[[#This Row],[tamanho]]=$I$4,$L$4,IF(Tabla1[[#This Row],[tamanho]]=$I$5,$L$5,IF(Tabla1[[#This Row],[tamanho]]=$I$6,$L$6,0))))*IF(C330="8_1",9,25))</f>
        <v>4.1082611280787118E-7</v>
      </c>
    </row>
    <row r="331" spans="1:6" ht="12.75" x14ac:dyDescent="0.2">
      <c r="A331" s="1">
        <v>13</v>
      </c>
      <c r="B331" s="1">
        <v>3</v>
      </c>
      <c r="C331" s="1" t="s">
        <v>8</v>
      </c>
      <c r="D331" s="1" t="s">
        <v>9</v>
      </c>
      <c r="E331" s="1">
        <v>4.3082118034362704</v>
      </c>
      <c r="F331" s="1">
        <f>Tabla1[[#This Row],[tiempo]]/(IF(Tabla1[[#This Row],[tamanho]]=$I$3,$L$3,IF(Tabla1[[#This Row],[tamanho]]=$I$4,$L$4,IF(Tabla1[[#This Row],[tamanho]]=$I$5,$L$5,IF(Tabla1[[#This Row],[tamanho]]=$I$6,$L$6,0))))*IF(C331="8_1",9,25))</f>
        <v>4.1700476980796464E-7</v>
      </c>
    </row>
    <row r="332" spans="1:6" ht="12.75" x14ac:dyDescent="0.2">
      <c r="A332" s="1">
        <v>13</v>
      </c>
      <c r="B332" s="1">
        <v>4</v>
      </c>
      <c r="C332" s="1" t="s">
        <v>5</v>
      </c>
      <c r="D332" s="1" t="s">
        <v>6</v>
      </c>
      <c r="E332" s="1">
        <v>6.8142561912536603</v>
      </c>
      <c r="F332" s="1">
        <f>Tabla1[[#This Row],[tiempo]]/(IF(Tabla1[[#This Row],[tamanho]]=$I$3,$L$3,IF(Tabla1[[#This Row],[tamanho]]=$I$4,$L$4,IF(Tabla1[[#This Row],[tamanho]]=$I$5,$L$5,IF(Tabla1[[#This Row],[tamanho]]=$I$6,$L$6,0))))*IF(C332="8_1",9,25))</f>
        <v>1.0289976757446793E-6</v>
      </c>
    </row>
    <row r="333" spans="1:6" ht="12.75" x14ac:dyDescent="0.2">
      <c r="A333" s="1">
        <v>13</v>
      </c>
      <c r="B333" s="1">
        <v>4</v>
      </c>
      <c r="C333" s="1" t="s">
        <v>7</v>
      </c>
      <c r="D333" s="1" t="s">
        <v>6</v>
      </c>
      <c r="E333" s="1">
        <v>7.63691854476928</v>
      </c>
      <c r="F333" s="1">
        <f>Tabla1[[#This Row],[tiempo]]/(IF(Tabla1[[#This Row],[tamanho]]=$I$3,$L$3,IF(Tabla1[[#This Row],[tamanho]]=$I$4,$L$4,IF(Tabla1[[#This Row],[tamanho]]=$I$5,$L$5,IF(Tabla1[[#This Row],[tamanho]]=$I$6,$L$6,0))))*IF(C333="8_1",9,25))</f>
        <v>4.1516104417999275E-7</v>
      </c>
    </row>
    <row r="334" spans="1:6" ht="12.75" x14ac:dyDescent="0.2">
      <c r="A334" s="1">
        <v>13</v>
      </c>
      <c r="B334" s="1">
        <v>4</v>
      </c>
      <c r="C334" s="1" t="s">
        <v>8</v>
      </c>
      <c r="D334" s="1" t="s">
        <v>6</v>
      </c>
      <c r="E334" s="1">
        <v>7.6995294094085596</v>
      </c>
      <c r="F334" s="1">
        <f>Tabla1[[#This Row],[tiempo]]/(IF(Tabla1[[#This Row],[tamanho]]=$I$3,$L$3,IF(Tabla1[[#This Row],[tamanho]]=$I$4,$L$4,IF(Tabla1[[#This Row],[tamanho]]=$I$5,$L$5,IF(Tabla1[[#This Row],[tamanho]]=$I$6,$L$6,0))))*IF(C334="8_1",9,25))</f>
        <v>4.185647196006844E-7</v>
      </c>
    </row>
    <row r="335" spans="1:6" ht="12.75" x14ac:dyDescent="0.2">
      <c r="A335" s="1">
        <v>13</v>
      </c>
      <c r="B335" s="1">
        <v>4</v>
      </c>
      <c r="C335" s="1" t="s">
        <v>5</v>
      </c>
      <c r="D335" s="1" t="s">
        <v>9</v>
      </c>
      <c r="E335" s="1">
        <v>6.8644413948059002</v>
      </c>
      <c r="F335" s="1">
        <f>Tabla1[[#This Row],[tiempo]]/(IF(Tabla1[[#This Row],[tamanho]]=$I$3,$L$3,IF(Tabla1[[#This Row],[tamanho]]=$I$4,$L$4,IF(Tabla1[[#This Row],[tamanho]]=$I$5,$L$5,IF(Tabla1[[#This Row],[tamanho]]=$I$6,$L$6,0))))*IF(C335="8_1",9,25))</f>
        <v>1.0365759728269509E-6</v>
      </c>
    </row>
    <row r="336" spans="1:6" ht="12.75" x14ac:dyDescent="0.2">
      <c r="A336" s="1">
        <v>13</v>
      </c>
      <c r="B336" s="1">
        <v>4</v>
      </c>
      <c r="C336" s="1" t="s">
        <v>7</v>
      </c>
      <c r="D336" s="1" t="s">
        <v>9</v>
      </c>
      <c r="E336" s="1">
        <v>7.6645600795745796</v>
      </c>
      <c r="F336" s="1">
        <f>Tabla1[[#This Row],[tiempo]]/(IF(Tabla1[[#This Row],[tamanho]]=$I$3,$L$3,IF(Tabla1[[#This Row],[tamanho]]=$I$4,$L$4,IF(Tabla1[[#This Row],[tamanho]]=$I$5,$L$5,IF(Tabla1[[#This Row],[tamanho]]=$I$6,$L$6,0))))*IF(C336="8_1",9,25))</f>
        <v>4.1666370371279158E-7</v>
      </c>
    </row>
    <row r="337" spans="1:6" ht="12.75" x14ac:dyDescent="0.2">
      <c r="A337" s="1">
        <v>13</v>
      </c>
      <c r="B337" s="1">
        <v>4</v>
      </c>
      <c r="C337" s="1" t="s">
        <v>8</v>
      </c>
      <c r="D337" s="1" t="s">
        <v>9</v>
      </c>
      <c r="E337" s="1">
        <v>7.6862840652465803</v>
      </c>
      <c r="F337" s="1">
        <f>Tabla1[[#This Row],[tiempo]]/(IF(Tabla1[[#This Row],[tamanho]]=$I$3,$L$3,IF(Tabla1[[#This Row],[tamanho]]=$I$4,$L$4,IF(Tabla1[[#This Row],[tamanho]]=$I$5,$L$5,IF(Tabla1[[#This Row],[tamanho]]=$I$6,$L$6,0))))*IF(C337="8_1",9,25))</f>
        <v>4.178446712093634E-7</v>
      </c>
    </row>
    <row r="338" spans="1:6" ht="12.75" x14ac:dyDescent="0.2">
      <c r="A338" s="1">
        <v>14</v>
      </c>
      <c r="B338" s="1">
        <v>1</v>
      </c>
      <c r="C338" s="1" t="s">
        <v>5</v>
      </c>
      <c r="D338" s="1" t="s">
        <v>6</v>
      </c>
      <c r="E338" s="1">
        <v>0.40713047981262201</v>
      </c>
      <c r="F338" s="1">
        <f>Tabla1[[#This Row],[tiempo]]/(IF(Tabla1[[#This Row],[tamanho]]=$I$3,$L$3,IF(Tabla1[[#This Row],[tamanho]]=$I$4,$L$4,IF(Tabla1[[#This Row],[tamanho]]=$I$5,$L$5,IF(Tabla1[[#This Row],[tamanho]]=$I$6,$L$6,0))))*IF(C338="8_1",9,25))</f>
        <v>1.6778576454575211E-6</v>
      </c>
    </row>
    <row r="339" spans="1:6" ht="12.75" x14ac:dyDescent="0.2">
      <c r="A339" s="1">
        <v>14</v>
      </c>
      <c r="B339" s="1">
        <v>1</v>
      </c>
      <c r="C339" s="1" t="s">
        <v>7</v>
      </c>
      <c r="D339" s="1" t="s">
        <v>6</v>
      </c>
      <c r="E339" s="1">
        <v>0.453342914581298</v>
      </c>
      <c r="F339" s="1">
        <f>Tabla1[[#This Row],[tiempo]]/(IF(Tabla1[[#This Row],[tamanho]]=$I$3,$L$3,IF(Tabla1[[#This Row],[tamanho]]=$I$4,$L$4,IF(Tabla1[[#This Row],[tamanho]]=$I$5,$L$5,IF(Tabla1[[#This Row],[tamanho]]=$I$6,$L$6,0))))*IF(C339="8_1",9,25))</f>
        <v>6.7259065254448718E-7</v>
      </c>
    </row>
    <row r="340" spans="1:6" ht="12.75" x14ac:dyDescent="0.2">
      <c r="A340" s="1">
        <v>14</v>
      </c>
      <c r="B340" s="1">
        <v>1</v>
      </c>
      <c r="C340" s="1" t="s">
        <v>8</v>
      </c>
      <c r="D340" s="1" t="s">
        <v>6</v>
      </c>
      <c r="E340" s="1">
        <v>0.45685577392578097</v>
      </c>
      <c r="F340" s="1">
        <f>Tabla1[[#This Row],[tiempo]]/(IF(Tabla1[[#This Row],[tamanho]]=$I$3,$L$3,IF(Tabla1[[#This Row],[tamanho]]=$I$4,$L$4,IF(Tabla1[[#This Row],[tamanho]]=$I$5,$L$5,IF(Tabla1[[#This Row],[tamanho]]=$I$6,$L$6,0))))*IF(C340="8_1",9,25))</f>
        <v>6.7780241671418861E-7</v>
      </c>
    </row>
    <row r="341" spans="1:6" ht="12.75" x14ac:dyDescent="0.2">
      <c r="A341" s="1">
        <v>14</v>
      </c>
      <c r="B341" s="1">
        <v>1</v>
      </c>
      <c r="C341" s="1" t="s">
        <v>5</v>
      </c>
      <c r="D341" s="1" t="s">
        <v>9</v>
      </c>
      <c r="E341" s="1">
        <v>0.40627098083495999</v>
      </c>
      <c r="F341" s="1">
        <f>Tabla1[[#This Row],[tiempo]]/(IF(Tabla1[[#This Row],[tamanho]]=$I$3,$L$3,IF(Tabla1[[#This Row],[tamanho]]=$I$4,$L$4,IF(Tabla1[[#This Row],[tamanho]]=$I$5,$L$5,IF(Tabla1[[#This Row],[tamanho]]=$I$6,$L$6,0))))*IF(C341="8_1",9,25))</f>
        <v>1.6743154961898049E-6</v>
      </c>
    </row>
    <row r="342" spans="1:6" ht="12.75" x14ac:dyDescent="0.2">
      <c r="A342" s="1">
        <v>14</v>
      </c>
      <c r="B342" s="1">
        <v>1</v>
      </c>
      <c r="C342" s="1" t="s">
        <v>7</v>
      </c>
      <c r="D342" s="1" t="s">
        <v>9</v>
      </c>
      <c r="E342" s="1">
        <v>0.45651721954345698</v>
      </c>
      <c r="F342" s="1">
        <f>Tabla1[[#This Row],[tiempo]]/(IF(Tabla1[[#This Row],[tamanho]]=$I$3,$L$3,IF(Tabla1[[#This Row],[tamanho]]=$I$4,$L$4,IF(Tabla1[[#This Row],[tamanho]]=$I$5,$L$5,IF(Tabla1[[#This Row],[tamanho]]=$I$6,$L$6,0))))*IF(C342="8_1",9,25))</f>
        <v>6.7730012913980491E-7</v>
      </c>
    </row>
    <row r="343" spans="1:6" ht="12.75" x14ac:dyDescent="0.2">
      <c r="A343" s="1">
        <v>14</v>
      </c>
      <c r="B343" s="1">
        <v>1</v>
      </c>
      <c r="C343" s="1" t="s">
        <v>8</v>
      </c>
      <c r="D343" s="1" t="s">
        <v>9</v>
      </c>
      <c r="E343" s="1">
        <v>0.46096563339233398</v>
      </c>
      <c r="F343" s="1">
        <f>Tabla1[[#This Row],[tiempo]]/(IF(Tabla1[[#This Row],[tamanho]]=$I$3,$L$3,IF(Tabla1[[#This Row],[tamanho]]=$I$4,$L$4,IF(Tabla1[[#This Row],[tamanho]]=$I$5,$L$5,IF(Tabla1[[#This Row],[tamanho]]=$I$6,$L$6,0))))*IF(C343="8_1",9,25))</f>
        <v>6.8389990488829637E-7</v>
      </c>
    </row>
    <row r="344" spans="1:6" ht="12.75" x14ac:dyDescent="0.2">
      <c r="A344" s="1">
        <v>14</v>
      </c>
      <c r="B344" s="1">
        <v>2</v>
      </c>
      <c r="C344" s="1" t="s">
        <v>5</v>
      </c>
      <c r="D344" s="1" t="s">
        <v>6</v>
      </c>
      <c r="E344" s="1">
        <v>1.66807889938354</v>
      </c>
      <c r="F344" s="1">
        <f>Tabla1[[#This Row],[tiempo]]/(IF(Tabla1[[#This Row],[tamanho]]=$I$3,$L$3,IF(Tabla1[[#This Row],[tamanho]]=$I$4,$L$4,IF(Tabla1[[#This Row],[tamanho]]=$I$5,$L$5,IF(Tabla1[[#This Row],[tamanho]]=$I$6,$L$6,0))))*IF(C344="8_1",9,25))</f>
        <v>1.0099176116841821E-6</v>
      </c>
    </row>
    <row r="345" spans="1:6" ht="12.75" x14ac:dyDescent="0.2">
      <c r="A345" s="1">
        <v>14</v>
      </c>
      <c r="B345" s="1">
        <v>2</v>
      </c>
      <c r="C345" s="1" t="s">
        <v>7</v>
      </c>
      <c r="D345" s="1" t="s">
        <v>6</v>
      </c>
      <c r="E345" s="1">
        <v>1.86867523193359</v>
      </c>
      <c r="F345" s="1">
        <f>Tabla1[[#This Row],[tiempo]]/(IF(Tabla1[[#This Row],[tamanho]]=$I$3,$L$3,IF(Tabla1[[#This Row],[tamanho]]=$I$4,$L$4,IF(Tabla1[[#This Row],[tamanho]]=$I$5,$L$5,IF(Tabla1[[#This Row],[tamanho]]=$I$6,$L$6,0))))*IF(C345="8_1",9,25))</f>
        <v>4.0729181938592427E-7</v>
      </c>
    </row>
    <row r="346" spans="1:6" ht="12.75" x14ac:dyDescent="0.2">
      <c r="A346" s="1">
        <v>14</v>
      </c>
      <c r="B346" s="1">
        <v>2</v>
      </c>
      <c r="C346" s="1" t="s">
        <v>8</v>
      </c>
      <c r="D346" s="1" t="s">
        <v>6</v>
      </c>
      <c r="E346" s="1">
        <v>1.8748309612274101</v>
      </c>
      <c r="F346" s="1">
        <f>Tabla1[[#This Row],[tiempo]]/(IF(Tabla1[[#This Row],[tamanho]]=$I$3,$L$3,IF(Tabla1[[#This Row],[tamanho]]=$I$4,$L$4,IF(Tabla1[[#This Row],[tamanho]]=$I$5,$L$5,IF(Tabla1[[#This Row],[tamanho]]=$I$6,$L$6,0))))*IF(C346="8_1",9,25))</f>
        <v>4.0863350687708508E-7</v>
      </c>
    </row>
    <row r="347" spans="1:6" ht="12.75" x14ac:dyDescent="0.2">
      <c r="A347" s="1">
        <v>14</v>
      </c>
      <c r="B347" s="1">
        <v>2</v>
      </c>
      <c r="C347" s="1" t="s">
        <v>5</v>
      </c>
      <c r="D347" s="1" t="s">
        <v>9</v>
      </c>
      <c r="E347" s="1">
        <v>1.6748187541961601</v>
      </c>
      <c r="F347" s="1">
        <f>Tabla1[[#This Row],[tiempo]]/(IF(Tabla1[[#This Row],[tamanho]]=$I$3,$L$3,IF(Tabla1[[#This Row],[tamanho]]=$I$4,$L$4,IF(Tabla1[[#This Row],[tamanho]]=$I$5,$L$5,IF(Tabla1[[#This Row],[tamanho]]=$I$6,$L$6,0))))*IF(C347="8_1",9,25))</f>
        <v>1.0139981729082193E-6</v>
      </c>
    </row>
    <row r="348" spans="1:6" ht="12.75" x14ac:dyDescent="0.2">
      <c r="A348" s="1">
        <v>14</v>
      </c>
      <c r="B348" s="1">
        <v>2</v>
      </c>
      <c r="C348" s="1" t="s">
        <v>7</v>
      </c>
      <c r="D348" s="1" t="s">
        <v>9</v>
      </c>
      <c r="E348" s="1">
        <v>1.8620491027832</v>
      </c>
      <c r="F348" s="1">
        <f>Tabla1[[#This Row],[tiempo]]/(IF(Tabla1[[#This Row],[tamanho]]=$I$3,$L$3,IF(Tabla1[[#This Row],[tamanho]]=$I$4,$L$4,IF(Tabla1[[#This Row],[tamanho]]=$I$5,$L$5,IF(Tabla1[[#This Row],[tamanho]]=$I$6,$L$6,0))))*IF(C348="8_1",9,25))</f>
        <v>4.0584760470857989E-7</v>
      </c>
    </row>
    <row r="349" spans="1:6" ht="12.75" x14ac:dyDescent="0.2">
      <c r="A349" s="1">
        <v>14</v>
      </c>
      <c r="B349" s="1">
        <v>2</v>
      </c>
      <c r="C349" s="1" t="s">
        <v>8</v>
      </c>
      <c r="D349" s="1" t="s">
        <v>9</v>
      </c>
      <c r="E349" s="1">
        <v>1.8847084045410101</v>
      </c>
      <c r="F349" s="1">
        <f>Tabla1[[#This Row],[tiempo]]/(IF(Tabla1[[#This Row],[tamanho]]=$I$3,$L$3,IF(Tabla1[[#This Row],[tamanho]]=$I$4,$L$4,IF(Tabla1[[#This Row],[tamanho]]=$I$5,$L$5,IF(Tabla1[[#This Row],[tamanho]]=$I$6,$L$6,0))))*IF(C349="8_1",9,25))</f>
        <v>4.1078636992644154E-7</v>
      </c>
    </row>
    <row r="350" spans="1:6" ht="12.75" x14ac:dyDescent="0.2">
      <c r="A350" s="1">
        <v>14</v>
      </c>
      <c r="B350" s="1">
        <v>3</v>
      </c>
      <c r="C350" s="1" t="s">
        <v>5</v>
      </c>
      <c r="D350" s="1" t="s">
        <v>6</v>
      </c>
      <c r="E350" s="1">
        <v>3.7980535030364901</v>
      </c>
      <c r="F350" s="1">
        <f>Tabla1[[#This Row],[tiempo]]/(IF(Tabla1[[#This Row],[tamanho]]=$I$3,$L$3,IF(Tabla1[[#This Row],[tamanho]]=$I$4,$L$4,IF(Tabla1[[#This Row],[tamanho]]=$I$5,$L$5,IF(Tabla1[[#This Row],[tamanho]]=$I$6,$L$6,0))))*IF(C350="8_1",9,25))</f>
        <v>1.0211805958621769E-6</v>
      </c>
    </row>
    <row r="351" spans="1:6" ht="12.75" x14ac:dyDescent="0.2">
      <c r="A351" s="1">
        <v>14</v>
      </c>
      <c r="B351" s="1">
        <v>3</v>
      </c>
      <c r="C351" s="1" t="s">
        <v>7</v>
      </c>
      <c r="D351" s="1" t="s">
        <v>6</v>
      </c>
      <c r="E351" s="1">
        <v>4.3028838634490896</v>
      </c>
      <c r="F351" s="1">
        <f>Tabla1[[#This Row],[tiempo]]/(IF(Tabla1[[#This Row],[tamanho]]=$I$3,$L$3,IF(Tabla1[[#This Row],[tamanho]]=$I$4,$L$4,IF(Tabla1[[#This Row],[tamanho]]=$I$5,$L$5,IF(Tabla1[[#This Row],[tamanho]]=$I$6,$L$6,0))))*IF(C351="8_1",9,25))</f>
        <v>4.1648906248221689E-7</v>
      </c>
    </row>
    <row r="352" spans="1:6" ht="12.75" x14ac:dyDescent="0.2">
      <c r="A352" s="1">
        <v>14</v>
      </c>
      <c r="B352" s="1">
        <v>3</v>
      </c>
      <c r="C352" s="1" t="s">
        <v>8</v>
      </c>
      <c r="D352" s="1" t="s">
        <v>6</v>
      </c>
      <c r="E352" s="1">
        <v>4.2637493610382</v>
      </c>
      <c r="F352" s="1">
        <f>Tabla1[[#This Row],[tiempo]]/(IF(Tabla1[[#This Row],[tamanho]]=$I$3,$L$3,IF(Tabla1[[#This Row],[tamanho]]=$I$4,$L$4,IF(Tabla1[[#This Row],[tamanho]]=$I$5,$L$5,IF(Tabla1[[#This Row],[tamanho]]=$I$6,$L$6,0))))*IF(C352="8_1",9,25))</f>
        <v>4.1270111636582914E-7</v>
      </c>
    </row>
    <row r="353" spans="1:6" ht="12.75" x14ac:dyDescent="0.2">
      <c r="A353" s="1">
        <v>14</v>
      </c>
      <c r="B353" s="1">
        <v>3</v>
      </c>
      <c r="C353" s="1" t="s">
        <v>5</v>
      </c>
      <c r="D353" s="1" t="s">
        <v>9</v>
      </c>
      <c r="E353" s="1">
        <v>3.7801237106323202</v>
      </c>
      <c r="F353" s="1">
        <f>Tabla1[[#This Row],[tiempo]]/(IF(Tabla1[[#This Row],[tamanho]]=$I$3,$L$3,IF(Tabla1[[#This Row],[tamanho]]=$I$4,$L$4,IF(Tabla1[[#This Row],[tamanho]]=$I$5,$L$5,IF(Tabla1[[#This Row],[tamanho]]=$I$6,$L$6,0))))*IF(C353="8_1",9,25))</f>
        <v>1.0163598222537123E-6</v>
      </c>
    </row>
    <row r="354" spans="1:6" ht="12.75" x14ac:dyDescent="0.2">
      <c r="A354" s="1">
        <v>14</v>
      </c>
      <c r="B354" s="1">
        <v>3</v>
      </c>
      <c r="C354" s="1" t="s">
        <v>7</v>
      </c>
      <c r="D354" s="1" t="s">
        <v>9</v>
      </c>
      <c r="E354" s="1">
        <v>4.2282178401947004</v>
      </c>
      <c r="F354" s="1">
        <f>Tabla1[[#This Row],[tiempo]]/(IF(Tabla1[[#This Row],[tamanho]]=$I$3,$L$3,IF(Tabla1[[#This Row],[tamanho]]=$I$4,$L$4,IF(Tabla1[[#This Row],[tamanho]]=$I$5,$L$5,IF(Tabla1[[#This Row],[tamanho]]=$I$6,$L$6,0))))*IF(C354="8_1",9,25))</f>
        <v>4.0926191366496555E-7</v>
      </c>
    </row>
    <row r="355" spans="1:6" ht="12.75" x14ac:dyDescent="0.2">
      <c r="A355" s="1">
        <v>14</v>
      </c>
      <c r="B355" s="1">
        <v>3</v>
      </c>
      <c r="C355" s="1" t="s">
        <v>8</v>
      </c>
      <c r="D355" s="1" t="s">
        <v>9</v>
      </c>
      <c r="E355" s="1">
        <v>4.2796123027801496</v>
      </c>
      <c r="F355" s="1">
        <f>Tabla1[[#This Row],[tiempo]]/(IF(Tabla1[[#This Row],[tamanho]]=$I$3,$L$3,IF(Tabla1[[#This Row],[tamanho]]=$I$4,$L$4,IF(Tabla1[[#This Row],[tamanho]]=$I$5,$L$5,IF(Tabla1[[#This Row],[tamanho]]=$I$6,$L$6,0))))*IF(C355="8_1",9,25))</f>
        <v>4.1423653817686982E-7</v>
      </c>
    </row>
    <row r="356" spans="1:6" ht="12.75" x14ac:dyDescent="0.2">
      <c r="A356" s="1">
        <v>14</v>
      </c>
      <c r="B356" s="1">
        <v>4</v>
      </c>
      <c r="C356" s="1" t="s">
        <v>5</v>
      </c>
      <c r="D356" s="1" t="s">
        <v>6</v>
      </c>
      <c r="E356" s="1">
        <v>6.7936804294586102</v>
      </c>
      <c r="F356" s="1">
        <f>Tabla1[[#This Row],[tiempo]]/(IF(Tabla1[[#This Row],[tamanho]]=$I$3,$L$3,IF(Tabla1[[#This Row],[tamanho]]=$I$4,$L$4,IF(Tabla1[[#This Row],[tamanho]]=$I$5,$L$5,IF(Tabla1[[#This Row],[tamanho]]=$I$6,$L$6,0))))*IF(C356="8_1",9,25))</f>
        <v>1.0258905998629479E-6</v>
      </c>
    </row>
    <row r="357" spans="1:6" ht="12.75" x14ac:dyDescent="0.2">
      <c r="A357" s="1">
        <v>14</v>
      </c>
      <c r="B357" s="1">
        <v>4</v>
      </c>
      <c r="C357" s="1" t="s">
        <v>7</v>
      </c>
      <c r="D357" s="1" t="s">
        <v>6</v>
      </c>
      <c r="E357" s="1">
        <v>7.8157839775085396</v>
      </c>
      <c r="F357" s="1">
        <f>Tabla1[[#This Row],[tiempo]]/(IF(Tabla1[[#This Row],[tamanho]]=$I$3,$L$3,IF(Tabla1[[#This Row],[tamanho]]=$I$4,$L$4,IF(Tabla1[[#This Row],[tamanho]]=$I$5,$L$5,IF(Tabla1[[#This Row],[tamanho]]=$I$6,$L$6,0))))*IF(C357="8_1",9,25))</f>
        <v>4.2488459424647845E-7</v>
      </c>
    </row>
    <row r="358" spans="1:6" ht="12.75" x14ac:dyDescent="0.2">
      <c r="A358" s="1">
        <v>14</v>
      </c>
      <c r="B358" s="1">
        <v>4</v>
      </c>
      <c r="C358" s="1" t="s">
        <v>8</v>
      </c>
      <c r="D358" s="1" t="s">
        <v>6</v>
      </c>
      <c r="E358" s="1">
        <v>7.6877701282501203</v>
      </c>
      <c r="F358" s="1">
        <f>Tabla1[[#This Row],[tiempo]]/(IF(Tabla1[[#This Row],[tamanho]]=$I$3,$L$3,IF(Tabla1[[#This Row],[tamanho]]=$I$4,$L$4,IF(Tabla1[[#This Row],[tamanho]]=$I$5,$L$5,IF(Tabla1[[#This Row],[tamanho]]=$I$6,$L$6,0))))*IF(C358="8_1",9,25))</f>
        <v>4.1792545712643848E-7</v>
      </c>
    </row>
    <row r="359" spans="1:6" ht="12.75" x14ac:dyDescent="0.2">
      <c r="A359" s="1">
        <v>14</v>
      </c>
      <c r="B359" s="1">
        <v>4</v>
      </c>
      <c r="C359" s="1" t="s">
        <v>5</v>
      </c>
      <c r="D359" s="1" t="s">
        <v>9</v>
      </c>
      <c r="E359" s="1">
        <v>6.8294148445129297</v>
      </c>
      <c r="F359" s="1">
        <f>Tabla1[[#This Row],[tiempo]]/(IF(Tabla1[[#This Row],[tamanho]]=$I$3,$L$3,IF(Tabla1[[#This Row],[tamanho]]=$I$4,$L$4,IF(Tabla1[[#This Row],[tamanho]]=$I$5,$L$5,IF(Tabla1[[#This Row],[tamanho]]=$I$6,$L$6,0))))*IF(C359="8_1",9,25))</f>
        <v>1.0312867324712562E-6</v>
      </c>
    </row>
    <row r="360" spans="1:6" ht="12.75" x14ac:dyDescent="0.2">
      <c r="A360" s="1">
        <v>14</v>
      </c>
      <c r="B360" s="1">
        <v>4</v>
      </c>
      <c r="C360" s="1" t="s">
        <v>7</v>
      </c>
      <c r="D360" s="1" t="s">
        <v>9</v>
      </c>
      <c r="E360" s="1">
        <v>7.6263306140899596</v>
      </c>
      <c r="F360" s="1">
        <f>Tabla1[[#This Row],[tiempo]]/(IF(Tabla1[[#This Row],[tamanho]]=$I$3,$L$3,IF(Tabla1[[#This Row],[tamanho]]=$I$4,$L$4,IF(Tabla1[[#This Row],[tamanho]]=$I$5,$L$5,IF(Tabla1[[#This Row],[tamanho]]=$I$6,$L$6,0))))*IF(C360="8_1",9,25))</f>
        <v>4.1458545910195852E-7</v>
      </c>
    </row>
    <row r="361" spans="1:6" ht="12.75" x14ac:dyDescent="0.2">
      <c r="A361" s="1">
        <v>14</v>
      </c>
      <c r="B361" s="1">
        <v>4</v>
      </c>
      <c r="C361" s="1" t="s">
        <v>8</v>
      </c>
      <c r="D361" s="1" t="s">
        <v>9</v>
      </c>
      <c r="E361" s="1">
        <v>7.7134625911712602</v>
      </c>
      <c r="F361" s="1">
        <f>Tabla1[[#This Row],[tiempo]]/(IF(Tabla1[[#This Row],[tamanho]]=$I$3,$L$3,IF(Tabla1[[#This Row],[tamanho]]=$I$4,$L$4,IF(Tabla1[[#This Row],[tamanho]]=$I$5,$L$5,IF(Tabla1[[#This Row],[tamanho]]=$I$6,$L$6,0))))*IF(C361="8_1",9,25))</f>
        <v>4.1932216047889234E-7</v>
      </c>
    </row>
    <row r="362" spans="1:6" ht="12.75" x14ac:dyDescent="0.2">
      <c r="A362" s="1">
        <v>15</v>
      </c>
      <c r="B362" s="1">
        <v>1</v>
      </c>
      <c r="C362" s="1" t="s">
        <v>5</v>
      </c>
      <c r="D362" s="1" t="s">
        <v>6</v>
      </c>
      <c r="E362" s="1">
        <v>0.40759873390197698</v>
      </c>
      <c r="F362" s="1">
        <f>Tabla1[[#This Row],[tiempo]]/(IF(Tabla1[[#This Row],[tamanho]]=$I$3,$L$3,IF(Tabla1[[#This Row],[tamanho]]=$I$4,$L$4,IF(Tabla1[[#This Row],[tamanho]]=$I$5,$L$5,IF(Tabla1[[#This Row],[tamanho]]=$I$6,$L$6,0))))*IF(C362="8_1",9,25))</f>
        <v>1.679787404448306E-6</v>
      </c>
    </row>
    <row r="363" spans="1:6" ht="12.75" x14ac:dyDescent="0.2">
      <c r="A363" s="1">
        <v>15</v>
      </c>
      <c r="B363" s="1">
        <v>1</v>
      </c>
      <c r="C363" s="1" t="s">
        <v>7</v>
      </c>
      <c r="D363" s="1" t="s">
        <v>6</v>
      </c>
      <c r="E363" s="1">
        <v>0.45597219467163003</v>
      </c>
      <c r="F363" s="1">
        <f>Tabla1[[#This Row],[tiempo]]/(IF(Tabla1[[#This Row],[tamanho]]=$I$3,$L$3,IF(Tabla1[[#This Row],[tamanho]]=$I$4,$L$4,IF(Tabla1[[#This Row],[tamanho]]=$I$5,$L$5,IF(Tabla1[[#This Row],[tamanho]]=$I$6,$L$6,0))))*IF(C363="8_1",9,25))</f>
        <v>6.7649151688977416E-7</v>
      </c>
    </row>
    <row r="364" spans="1:6" ht="12.75" x14ac:dyDescent="0.2">
      <c r="A364" s="1">
        <v>15</v>
      </c>
      <c r="B364" s="1">
        <v>1</v>
      </c>
      <c r="C364" s="1" t="s">
        <v>8</v>
      </c>
      <c r="D364" s="1" t="s">
        <v>6</v>
      </c>
      <c r="E364" s="1">
        <v>0.45915460586547802</v>
      </c>
      <c r="F364" s="1">
        <f>Tabla1[[#This Row],[tiempo]]/(IF(Tabla1[[#This Row],[tamanho]]=$I$3,$L$3,IF(Tabla1[[#This Row],[tamanho]]=$I$4,$L$4,IF(Tabla1[[#This Row],[tamanho]]=$I$5,$L$5,IF(Tabla1[[#This Row],[tamanho]]=$I$6,$L$6,0))))*IF(C364="8_1",9,25))</f>
        <v>6.8121302008898488E-7</v>
      </c>
    </row>
    <row r="365" spans="1:6" ht="12.75" x14ac:dyDescent="0.2">
      <c r="A365" s="1">
        <v>15</v>
      </c>
      <c r="B365" s="1">
        <v>1</v>
      </c>
      <c r="C365" s="1" t="s">
        <v>5</v>
      </c>
      <c r="D365" s="1" t="s">
        <v>9</v>
      </c>
      <c r="E365" s="1">
        <v>0.40640640258789001</v>
      </c>
      <c r="F365" s="1">
        <f>Tabla1[[#This Row],[tiempo]]/(IF(Tabla1[[#This Row],[tamanho]]=$I$3,$L$3,IF(Tabla1[[#This Row],[tamanho]]=$I$4,$L$4,IF(Tabla1[[#This Row],[tamanho]]=$I$5,$L$5,IF(Tabla1[[#This Row],[tamanho]]=$I$6,$L$6,0))))*IF(C365="8_1",9,25))</f>
        <v>1.6748735934946775E-6</v>
      </c>
    </row>
    <row r="366" spans="1:6" ht="12.75" x14ac:dyDescent="0.2">
      <c r="A366" s="1">
        <v>15</v>
      </c>
      <c r="B366" s="1">
        <v>1</v>
      </c>
      <c r="C366" s="1" t="s">
        <v>7</v>
      </c>
      <c r="D366" s="1" t="s">
        <v>9</v>
      </c>
      <c r="E366" s="1">
        <v>0.45539975166320801</v>
      </c>
      <c r="F366" s="1">
        <f>Tabla1[[#This Row],[tiempo]]/(IF(Tabla1[[#This Row],[tamanho]]=$I$3,$L$3,IF(Tabla1[[#This Row],[tamanho]]=$I$4,$L$4,IF(Tabla1[[#This Row],[tamanho]]=$I$5,$L$5,IF(Tabla1[[#This Row],[tamanho]]=$I$6,$L$6,0))))*IF(C366="8_1",9,25))</f>
        <v>6.7564222642069364E-7</v>
      </c>
    </row>
    <row r="367" spans="1:6" ht="12.75" x14ac:dyDescent="0.2">
      <c r="A367" s="1">
        <v>15</v>
      </c>
      <c r="B367" s="1">
        <v>1</v>
      </c>
      <c r="C367" s="1" t="s">
        <v>8</v>
      </c>
      <c r="D367" s="1" t="s">
        <v>9</v>
      </c>
      <c r="E367" s="1">
        <v>0.46241021156311002</v>
      </c>
      <c r="F367" s="1">
        <f>Tabla1[[#This Row],[tiempo]]/(IF(Tabla1[[#This Row],[tamanho]]=$I$3,$L$3,IF(Tabla1[[#This Row],[tamanho]]=$I$4,$L$4,IF(Tabla1[[#This Row],[tamanho]]=$I$5,$L$5,IF(Tabla1[[#This Row],[tamanho]]=$I$6,$L$6,0))))*IF(C367="8_1",9,25))</f>
        <v>6.8604311644688261E-7</v>
      </c>
    </row>
    <row r="368" spans="1:6" ht="12.75" x14ac:dyDescent="0.2">
      <c r="A368" s="1">
        <v>15</v>
      </c>
      <c r="B368" s="1">
        <v>2</v>
      </c>
      <c r="C368" s="1" t="s">
        <v>5</v>
      </c>
      <c r="D368" s="1" t="s">
        <v>6</v>
      </c>
      <c r="E368" s="1">
        <v>1.67321801185607</v>
      </c>
      <c r="F368" s="1">
        <f>Tabla1[[#This Row],[tiempo]]/(IF(Tabla1[[#This Row],[tamanho]]=$I$3,$L$3,IF(Tabla1[[#This Row],[tamanho]]=$I$4,$L$4,IF(Tabla1[[#This Row],[tamanho]]=$I$5,$L$5,IF(Tabla1[[#This Row],[tamanho]]=$I$6,$L$6,0))))*IF(C368="8_1",9,25))</f>
        <v>1.0130290233784082E-6</v>
      </c>
    </row>
    <row r="369" spans="1:6" ht="12.75" x14ac:dyDescent="0.2">
      <c r="A369" s="1">
        <v>15</v>
      </c>
      <c r="B369" s="1">
        <v>2</v>
      </c>
      <c r="C369" s="1" t="s">
        <v>7</v>
      </c>
      <c r="D369" s="1" t="s">
        <v>6</v>
      </c>
      <c r="E369" s="1">
        <v>1.88181400299072</v>
      </c>
      <c r="F369" s="1">
        <f>Tabla1[[#This Row],[tiempo]]/(IF(Tabla1[[#This Row],[tamanho]]=$I$3,$L$3,IF(Tabla1[[#This Row],[tamanho]]=$I$4,$L$4,IF(Tabla1[[#This Row],[tamanho]]=$I$5,$L$5,IF(Tabla1[[#This Row],[tamanho]]=$I$6,$L$6,0))))*IF(C369="8_1",9,25))</f>
        <v>4.1015551334242651E-7</v>
      </c>
    </row>
    <row r="370" spans="1:6" ht="12.75" x14ac:dyDescent="0.2">
      <c r="A370" s="1">
        <v>15</v>
      </c>
      <c r="B370" s="1">
        <v>2</v>
      </c>
      <c r="C370" s="1" t="s">
        <v>8</v>
      </c>
      <c r="D370" s="1" t="s">
        <v>6</v>
      </c>
      <c r="E370" s="1">
        <v>1.87895512580871</v>
      </c>
      <c r="F370" s="1">
        <f>Tabla1[[#This Row],[tiempo]]/(IF(Tabla1[[#This Row],[tamanho]]=$I$3,$L$3,IF(Tabla1[[#This Row],[tamanho]]=$I$4,$L$4,IF(Tabla1[[#This Row],[tamanho]]=$I$5,$L$5,IF(Tabla1[[#This Row],[tamanho]]=$I$6,$L$6,0))))*IF(C370="8_1",9,25))</f>
        <v>4.0953239956162425E-7</v>
      </c>
    </row>
    <row r="371" spans="1:6" ht="12.75" x14ac:dyDescent="0.2">
      <c r="A371" s="1">
        <v>15</v>
      </c>
      <c r="B371" s="1">
        <v>2</v>
      </c>
      <c r="C371" s="1" t="s">
        <v>5</v>
      </c>
      <c r="D371" s="1" t="s">
        <v>9</v>
      </c>
      <c r="E371" s="1">
        <v>1.67327785491943</v>
      </c>
      <c r="F371" s="1">
        <f>Tabla1[[#This Row],[tiempo]]/(IF(Tabla1[[#This Row],[tamanho]]=$I$3,$L$3,IF(Tabla1[[#This Row],[tamanho]]=$I$4,$L$4,IF(Tabla1[[#This Row],[tamanho]]=$I$5,$L$5,IF(Tabla1[[#This Row],[tamanho]]=$I$6,$L$6,0))))*IF(C371="8_1",9,25))</f>
        <v>1.013065254616419E-6</v>
      </c>
    </row>
    <row r="372" spans="1:6" ht="12.75" x14ac:dyDescent="0.2">
      <c r="A372" s="1">
        <v>15</v>
      </c>
      <c r="B372" s="1">
        <v>2</v>
      </c>
      <c r="C372" s="1" t="s">
        <v>7</v>
      </c>
      <c r="D372" s="1" t="s">
        <v>9</v>
      </c>
      <c r="E372" s="1">
        <v>1.86316537857055</v>
      </c>
      <c r="F372" s="1">
        <f>Tabla1[[#This Row],[tiempo]]/(IF(Tabla1[[#This Row],[tamanho]]=$I$3,$L$3,IF(Tabla1[[#This Row],[tamanho]]=$I$4,$L$4,IF(Tabla1[[#This Row],[tamanho]]=$I$5,$L$5,IF(Tabla1[[#This Row],[tamanho]]=$I$6,$L$6,0))))*IF(C372="8_1",9,25))</f>
        <v>4.0609090541091533E-7</v>
      </c>
    </row>
    <row r="373" spans="1:6" ht="12.75" x14ac:dyDescent="0.2">
      <c r="A373" s="1">
        <v>15</v>
      </c>
      <c r="B373" s="1">
        <v>2</v>
      </c>
      <c r="C373" s="1" t="s">
        <v>8</v>
      </c>
      <c r="D373" s="1" t="s">
        <v>9</v>
      </c>
      <c r="E373" s="1">
        <v>1.88931679725646</v>
      </c>
      <c r="F373" s="1">
        <f>Tabla1[[#This Row],[tiempo]]/(IF(Tabla1[[#This Row],[tamanho]]=$I$3,$L$3,IF(Tabla1[[#This Row],[tamanho]]=$I$4,$L$4,IF(Tabla1[[#This Row],[tamanho]]=$I$5,$L$5,IF(Tabla1[[#This Row],[tamanho]]=$I$6,$L$6,0))))*IF(C373="8_1",9,25))</f>
        <v>4.1179080377425266E-7</v>
      </c>
    </row>
    <row r="374" spans="1:6" ht="12.75" x14ac:dyDescent="0.2">
      <c r="A374" s="1">
        <v>15</v>
      </c>
      <c r="B374" s="1">
        <v>3</v>
      </c>
      <c r="C374" s="1" t="s">
        <v>5</v>
      </c>
      <c r="D374" s="1" t="s">
        <v>6</v>
      </c>
      <c r="E374" s="1">
        <v>3.8685536384582502</v>
      </c>
      <c r="F374" s="1">
        <f>Tabla1[[#This Row],[tiempo]]/(IF(Tabla1[[#This Row],[tamanho]]=$I$3,$L$3,IF(Tabla1[[#This Row],[tamanho]]=$I$4,$L$4,IF(Tabla1[[#This Row],[tamanho]]=$I$5,$L$5,IF(Tabla1[[#This Row],[tamanho]]=$I$6,$L$6,0))))*IF(C374="8_1",9,25))</f>
        <v>1.040135929229861E-6</v>
      </c>
    </row>
    <row r="375" spans="1:6" ht="12.75" x14ac:dyDescent="0.2">
      <c r="A375" s="1">
        <v>15</v>
      </c>
      <c r="B375" s="1">
        <v>3</v>
      </c>
      <c r="C375" s="1" t="s">
        <v>7</v>
      </c>
      <c r="D375" s="1" t="s">
        <v>6</v>
      </c>
      <c r="E375" s="1">
        <v>4.2786469459533603</v>
      </c>
      <c r="F375" s="1">
        <f>Tabla1[[#This Row],[tiempo]]/(IF(Tabla1[[#This Row],[tamanho]]=$I$3,$L$3,IF(Tabla1[[#This Row],[tamanho]]=$I$4,$L$4,IF(Tabla1[[#This Row],[tamanho]]=$I$5,$L$5,IF(Tabla1[[#This Row],[tamanho]]=$I$6,$L$6,0))))*IF(C375="8_1",9,25))</f>
        <v>4.1414309838799577E-7</v>
      </c>
    </row>
    <row r="376" spans="1:6" ht="12.75" x14ac:dyDescent="0.2">
      <c r="A376" s="1">
        <v>15</v>
      </c>
      <c r="B376" s="1">
        <v>3</v>
      </c>
      <c r="C376" s="1" t="s">
        <v>8</v>
      </c>
      <c r="D376" s="1" t="s">
        <v>6</v>
      </c>
      <c r="E376" s="1">
        <v>4.29361748695373</v>
      </c>
      <c r="F376" s="1">
        <f>Tabla1[[#This Row],[tiempo]]/(IF(Tabla1[[#This Row],[tamanho]]=$I$3,$L$3,IF(Tabla1[[#This Row],[tamanho]]=$I$4,$L$4,IF(Tabla1[[#This Row],[tamanho]]=$I$5,$L$5,IF(Tabla1[[#This Row],[tamanho]]=$I$6,$L$6,0))))*IF(C376="8_1",9,25))</f>
        <v>4.1559214204893661E-7</v>
      </c>
    </row>
    <row r="377" spans="1:6" ht="12.75" x14ac:dyDescent="0.2">
      <c r="A377" s="1">
        <v>15</v>
      </c>
      <c r="B377" s="1">
        <v>3</v>
      </c>
      <c r="C377" s="1" t="s">
        <v>5</v>
      </c>
      <c r="D377" s="1" t="s">
        <v>9</v>
      </c>
      <c r="E377" s="1">
        <v>3.8274395465850799</v>
      </c>
      <c r="F377" s="1">
        <f>Tabla1[[#This Row],[tiempo]]/(IF(Tabla1[[#This Row],[tamanho]]=$I$3,$L$3,IF(Tabla1[[#This Row],[tamanho]]=$I$4,$L$4,IF(Tabla1[[#This Row],[tamanho]]=$I$5,$L$5,IF(Tabla1[[#This Row],[tamanho]]=$I$6,$L$6,0))))*IF(C377="8_1",9,25))</f>
        <v>1.029081605533839E-6</v>
      </c>
    </row>
    <row r="378" spans="1:6" ht="12.75" x14ac:dyDescent="0.2">
      <c r="A378" s="1">
        <v>15</v>
      </c>
      <c r="B378" s="1">
        <v>3</v>
      </c>
      <c r="C378" s="1" t="s">
        <v>7</v>
      </c>
      <c r="D378" s="1" t="s">
        <v>9</v>
      </c>
      <c r="E378" s="1">
        <v>4.2488012313842702</v>
      </c>
      <c r="F378" s="1">
        <f>Tabla1[[#This Row],[tiempo]]/(IF(Tabla1[[#This Row],[tamanho]]=$I$3,$L$3,IF(Tabla1[[#This Row],[tamanho]]=$I$4,$L$4,IF(Tabla1[[#This Row],[tamanho]]=$I$5,$L$5,IF(Tabla1[[#This Row],[tamanho]]=$I$6,$L$6,0))))*IF(C378="8_1",9,25))</f>
        <v>4.1125424196647286E-7</v>
      </c>
    </row>
    <row r="379" spans="1:6" ht="12.75" x14ac:dyDescent="0.2">
      <c r="A379" s="1">
        <v>15</v>
      </c>
      <c r="B379" s="1">
        <v>3</v>
      </c>
      <c r="C379" s="1" t="s">
        <v>8</v>
      </c>
      <c r="D379" s="1" t="s">
        <v>9</v>
      </c>
      <c r="E379" s="1">
        <v>4.3193862438201904</v>
      </c>
      <c r="F379" s="1">
        <f>Tabla1[[#This Row],[tiempo]]/(IF(Tabla1[[#This Row],[tamanho]]=$I$3,$L$3,IF(Tabla1[[#This Row],[tamanho]]=$I$4,$L$4,IF(Tabla1[[#This Row],[tamanho]]=$I$5,$L$5,IF(Tabla1[[#This Row],[tamanho]]=$I$6,$L$6,0))))*IF(C379="8_1",9,25))</f>
        <v>4.1808637748015772E-7</v>
      </c>
    </row>
    <row r="380" spans="1:6" ht="12.75" x14ac:dyDescent="0.2">
      <c r="A380" s="1">
        <v>15</v>
      </c>
      <c r="B380" s="1">
        <v>4</v>
      </c>
      <c r="C380" s="1" t="s">
        <v>5</v>
      </c>
      <c r="D380" s="1" t="s">
        <v>6</v>
      </c>
      <c r="E380" s="1">
        <v>6.7995502948760898</v>
      </c>
      <c r="F380" s="1">
        <f>Tabla1[[#This Row],[tiempo]]/(IF(Tabla1[[#This Row],[tamanho]]=$I$3,$L$3,IF(Tabla1[[#This Row],[tamanho]]=$I$4,$L$4,IF(Tabla1[[#This Row],[tamanho]]=$I$5,$L$5,IF(Tabla1[[#This Row],[tamanho]]=$I$6,$L$6,0))))*IF(C380="8_1",9,25))</f>
        <v>1.0267769882965488E-6</v>
      </c>
    </row>
    <row r="381" spans="1:6" ht="12.75" x14ac:dyDescent="0.2">
      <c r="A381" s="1">
        <v>15</v>
      </c>
      <c r="B381" s="1">
        <v>4</v>
      </c>
      <c r="C381" s="1" t="s">
        <v>7</v>
      </c>
      <c r="D381" s="1" t="s">
        <v>6</v>
      </c>
      <c r="E381" s="1">
        <v>7.6017553806304896</v>
      </c>
      <c r="F381" s="1">
        <f>Tabla1[[#This Row],[tiempo]]/(IF(Tabla1[[#This Row],[tamanho]]=$I$3,$L$3,IF(Tabla1[[#This Row],[tamanho]]=$I$4,$L$4,IF(Tabla1[[#This Row],[tamanho]]=$I$5,$L$5,IF(Tabla1[[#This Row],[tamanho]]=$I$6,$L$6,0))))*IF(C381="8_1",9,25))</f>
        <v>4.1324949099856833E-7</v>
      </c>
    </row>
    <row r="382" spans="1:6" ht="12.75" x14ac:dyDescent="0.2">
      <c r="A382" s="1">
        <v>15</v>
      </c>
      <c r="B382" s="1">
        <v>4</v>
      </c>
      <c r="C382" s="1" t="s">
        <v>8</v>
      </c>
      <c r="D382" s="1" t="s">
        <v>6</v>
      </c>
      <c r="E382" s="1">
        <v>7.6639885902404696</v>
      </c>
      <c r="F382" s="1">
        <f>Tabla1[[#This Row],[tiempo]]/(IF(Tabla1[[#This Row],[tamanho]]=$I$3,$L$3,IF(Tabla1[[#This Row],[tamanho]]=$I$4,$L$4,IF(Tabla1[[#This Row],[tamanho]]=$I$5,$L$5,IF(Tabla1[[#This Row],[tamanho]]=$I$6,$L$6,0))))*IF(C382="8_1",9,25))</f>
        <v>4.1663263619422426E-7</v>
      </c>
    </row>
    <row r="383" spans="1:6" ht="12.75" x14ac:dyDescent="0.2">
      <c r="A383" s="1">
        <v>15</v>
      </c>
      <c r="B383" s="1">
        <v>4</v>
      </c>
      <c r="C383" s="1" t="s">
        <v>5</v>
      </c>
      <c r="D383" s="1" t="s">
        <v>9</v>
      </c>
      <c r="E383" s="1">
        <v>6.80702781677246</v>
      </c>
      <c r="F383" s="1">
        <f>Tabla1[[#This Row],[tiempo]]/(IF(Tabla1[[#This Row],[tamanho]]=$I$3,$L$3,IF(Tabla1[[#This Row],[tamanho]]=$I$4,$L$4,IF(Tabla1[[#This Row],[tamanho]]=$I$5,$L$5,IF(Tabla1[[#This Row],[tamanho]]=$I$6,$L$6,0))))*IF(C383="8_1",9,25))</f>
        <v>1.0279061434729526E-6</v>
      </c>
    </row>
    <row r="384" spans="1:6" ht="12.75" x14ac:dyDescent="0.2">
      <c r="A384" s="1">
        <v>15</v>
      </c>
      <c r="B384" s="1">
        <v>4</v>
      </c>
      <c r="C384" s="1" t="s">
        <v>7</v>
      </c>
      <c r="D384" s="1" t="s">
        <v>9</v>
      </c>
      <c r="E384" s="1">
        <v>7.6214287281036297</v>
      </c>
      <c r="F384" s="1">
        <f>Tabla1[[#This Row],[tiempo]]/(IF(Tabla1[[#This Row],[tamanho]]=$I$3,$L$3,IF(Tabla1[[#This Row],[tamanho]]=$I$4,$L$4,IF(Tabla1[[#This Row],[tamanho]]=$I$5,$L$5,IF(Tabla1[[#This Row],[tamanho]]=$I$6,$L$6,0))))*IF(C384="8_1",9,25))</f>
        <v>4.1431898092851643E-7</v>
      </c>
    </row>
    <row r="385" spans="1:6" ht="12.75" x14ac:dyDescent="0.2">
      <c r="A385" s="1">
        <v>15</v>
      </c>
      <c r="B385" s="1">
        <v>4</v>
      </c>
      <c r="C385" s="1" t="s">
        <v>8</v>
      </c>
      <c r="D385" s="1" t="s">
        <v>9</v>
      </c>
      <c r="E385" s="1">
        <v>7.7725043296813903</v>
      </c>
      <c r="F385" s="1">
        <f>Tabla1[[#This Row],[tiempo]]/(IF(Tabla1[[#This Row],[tamanho]]=$I$3,$L$3,IF(Tabla1[[#This Row],[tamanho]]=$I$4,$L$4,IF(Tabla1[[#This Row],[tamanho]]=$I$5,$L$5,IF(Tabla1[[#This Row],[tamanho]]=$I$6,$L$6,0))))*IF(C385="8_1",9,25))</f>
        <v>4.2253180971979675E-7</v>
      </c>
    </row>
    <row r="386" spans="1:6" ht="12.75" x14ac:dyDescent="0.2">
      <c r="A386" s="1">
        <v>16</v>
      </c>
      <c r="B386" s="1">
        <v>1</v>
      </c>
      <c r="C386" s="1" t="s">
        <v>5</v>
      </c>
      <c r="D386" s="1" t="s">
        <v>6</v>
      </c>
      <c r="E386" s="1">
        <v>0.405793666839599</v>
      </c>
      <c r="F386" s="1">
        <f>Tabla1[[#This Row],[tiempo]]/(IF(Tabla1[[#This Row],[tamanho]]=$I$3,$L$3,IF(Tabla1[[#This Row],[tamanho]]=$I$4,$L$4,IF(Tabla1[[#This Row],[tamanho]]=$I$5,$L$5,IF(Tabla1[[#This Row],[tamanho]]=$I$6,$L$6,0))))*IF(C386="8_1",9,25))</f>
        <v>1.6723483997032709E-6</v>
      </c>
    </row>
    <row r="387" spans="1:6" ht="12.75" x14ac:dyDescent="0.2">
      <c r="A387" s="1">
        <v>16</v>
      </c>
      <c r="B387" s="1">
        <v>1</v>
      </c>
      <c r="C387" s="1" t="s">
        <v>7</v>
      </c>
      <c r="D387" s="1" t="s">
        <v>6</v>
      </c>
      <c r="E387" s="1">
        <v>0.45539808273315402</v>
      </c>
      <c r="F387" s="1">
        <f>Tabla1[[#This Row],[tiempo]]/(IF(Tabla1[[#This Row],[tamanho]]=$I$3,$L$3,IF(Tabla1[[#This Row],[tamanho]]=$I$4,$L$4,IF(Tabla1[[#This Row],[tamanho]]=$I$5,$L$5,IF(Tabla1[[#This Row],[tamanho]]=$I$6,$L$6,0))))*IF(C387="8_1",9,25))</f>
        <v>6.7563975035518572E-7</v>
      </c>
    </row>
    <row r="388" spans="1:6" ht="12.75" x14ac:dyDescent="0.2">
      <c r="A388" s="1">
        <v>16</v>
      </c>
      <c r="B388" s="1">
        <v>1</v>
      </c>
      <c r="C388" s="1" t="s">
        <v>8</v>
      </c>
      <c r="D388" s="1" t="s">
        <v>6</v>
      </c>
      <c r="E388" s="1">
        <v>0.458150625228881</v>
      </c>
      <c r="F388" s="1">
        <f>Tabla1[[#This Row],[tiempo]]/(IF(Tabla1[[#This Row],[tamanho]]=$I$3,$L$3,IF(Tabla1[[#This Row],[tamanho]]=$I$4,$L$4,IF(Tabla1[[#This Row],[tamanho]]=$I$5,$L$5,IF(Tabla1[[#This Row],[tamanho]]=$I$6,$L$6,0))))*IF(C388="8_1",9,25))</f>
        <v>6.7972348982438488E-7</v>
      </c>
    </row>
    <row r="389" spans="1:6" ht="12.75" x14ac:dyDescent="0.2">
      <c r="A389" s="1">
        <v>16</v>
      </c>
      <c r="B389" s="1">
        <v>1</v>
      </c>
      <c r="C389" s="1" t="s">
        <v>5</v>
      </c>
      <c r="D389" s="1" t="s">
        <v>9</v>
      </c>
      <c r="E389" s="1">
        <v>0.40335178375244102</v>
      </c>
      <c r="F389" s="1">
        <f>Tabla1[[#This Row],[tiempo]]/(IF(Tabla1[[#This Row],[tamanho]]=$I$3,$L$3,IF(Tabla1[[#This Row],[tamanho]]=$I$4,$L$4,IF(Tabla1[[#This Row],[tamanho]]=$I$5,$L$5,IF(Tabla1[[#This Row],[tamanho]]=$I$6,$L$6,0))))*IF(C389="8_1",9,25))</f>
        <v>1.6622849620333939E-6</v>
      </c>
    </row>
    <row r="390" spans="1:6" ht="12.75" x14ac:dyDescent="0.2">
      <c r="A390" s="1">
        <v>16</v>
      </c>
      <c r="B390" s="1">
        <v>1</v>
      </c>
      <c r="C390" s="1" t="s">
        <v>7</v>
      </c>
      <c r="D390" s="1" t="s">
        <v>9</v>
      </c>
      <c r="E390" s="1">
        <v>0.456899404525756</v>
      </c>
      <c r="F390" s="1">
        <f>Tabla1[[#This Row],[tiempo]]/(IF(Tabla1[[#This Row],[tamanho]]=$I$3,$L$3,IF(Tabla1[[#This Row],[tamanho]]=$I$4,$L$4,IF(Tabla1[[#This Row],[tamanho]]=$I$5,$L$5,IF(Tabla1[[#This Row],[tamanho]]=$I$6,$L$6,0))))*IF(C390="8_1",9,25))</f>
        <v>6.7786714814102744E-7</v>
      </c>
    </row>
    <row r="391" spans="1:6" ht="12.75" x14ac:dyDescent="0.2">
      <c r="A391" s="1">
        <v>16</v>
      </c>
      <c r="B391" s="1">
        <v>1</v>
      </c>
      <c r="C391" s="1" t="s">
        <v>8</v>
      </c>
      <c r="D391" s="1" t="s">
        <v>9</v>
      </c>
      <c r="E391" s="1">
        <v>0.46026778221130299</v>
      </c>
      <c r="F391" s="1">
        <f>Tabla1[[#This Row],[tiempo]]/(IF(Tabla1[[#This Row],[tamanho]]=$I$3,$L$3,IF(Tabla1[[#This Row],[tamanho]]=$I$4,$L$4,IF(Tabla1[[#This Row],[tamanho]]=$I$5,$L$5,IF(Tabla1[[#This Row],[tamanho]]=$I$6,$L$6,0))))*IF(C391="8_1",9,25))</f>
        <v>6.8286455578250505E-7</v>
      </c>
    </row>
    <row r="392" spans="1:6" ht="12.75" x14ac:dyDescent="0.2">
      <c r="A392" s="1">
        <v>16</v>
      </c>
      <c r="B392" s="1">
        <v>2</v>
      </c>
      <c r="C392" s="1" t="s">
        <v>5</v>
      </c>
      <c r="D392" s="1" t="s">
        <v>6</v>
      </c>
      <c r="E392" s="1">
        <v>1.67394351959228</v>
      </c>
      <c r="F392" s="1">
        <f>Tabla1[[#This Row],[tiempo]]/(IF(Tabla1[[#This Row],[tamanho]]=$I$3,$L$3,IF(Tabla1[[#This Row],[tamanho]]=$I$4,$L$4,IF(Tabla1[[#This Row],[tamanho]]=$I$5,$L$5,IF(Tabla1[[#This Row],[tamanho]]=$I$6,$L$6,0))))*IF(C392="8_1",9,25))</f>
        <v>1.0134682730089158E-6</v>
      </c>
    </row>
    <row r="393" spans="1:6" ht="12.75" x14ac:dyDescent="0.2">
      <c r="A393" s="1">
        <v>16</v>
      </c>
      <c r="B393" s="1">
        <v>2</v>
      </c>
      <c r="C393" s="1" t="s">
        <v>7</v>
      </c>
      <c r="D393" s="1" t="s">
        <v>6</v>
      </c>
      <c r="E393" s="1">
        <v>1.84574222564697</v>
      </c>
      <c r="F393" s="1">
        <f>Tabla1[[#This Row],[tiempo]]/(IF(Tabla1[[#This Row],[tamanho]]=$I$3,$L$3,IF(Tabla1[[#This Row],[tamanho]]=$I$4,$L$4,IF(Tabla1[[#This Row],[tamanho]]=$I$5,$L$5,IF(Tabla1[[#This Row],[tamanho]]=$I$6,$L$6,0))))*IF(C393="8_1",9,25))</f>
        <v>4.0229339820772877E-7</v>
      </c>
    </row>
    <row r="394" spans="1:6" ht="12.75" x14ac:dyDescent="0.2">
      <c r="A394" s="1">
        <v>16</v>
      </c>
      <c r="B394" s="1">
        <v>2</v>
      </c>
      <c r="C394" s="1" t="s">
        <v>8</v>
      </c>
      <c r="D394" s="1" t="s">
        <v>6</v>
      </c>
      <c r="E394" s="1">
        <v>1.86485075950622</v>
      </c>
      <c r="F394" s="1">
        <f>Tabla1[[#This Row],[tiempo]]/(IF(Tabla1[[#This Row],[tamanho]]=$I$3,$L$3,IF(Tabla1[[#This Row],[tamanho]]=$I$4,$L$4,IF(Tabla1[[#This Row],[tamanho]]=$I$5,$L$5,IF(Tabla1[[#This Row],[tamanho]]=$I$6,$L$6,0))))*IF(C394="8_1",9,25))</f>
        <v>4.0645824686004294E-7</v>
      </c>
    </row>
    <row r="395" spans="1:6" ht="12.75" x14ac:dyDescent="0.2">
      <c r="A395" s="1">
        <v>16</v>
      </c>
      <c r="B395" s="1">
        <v>2</v>
      </c>
      <c r="C395" s="1" t="s">
        <v>5</v>
      </c>
      <c r="D395" s="1" t="s">
        <v>9</v>
      </c>
      <c r="E395" s="1">
        <v>1.6602654457092201</v>
      </c>
      <c r="F395" s="1">
        <f>Tabla1[[#This Row],[tiempo]]/(IF(Tabla1[[#This Row],[tamanho]]=$I$3,$L$3,IF(Tabla1[[#This Row],[tamanho]]=$I$4,$L$4,IF(Tabla1[[#This Row],[tamanho]]=$I$5,$L$5,IF(Tabla1[[#This Row],[tamanho]]=$I$6,$L$6,0))))*IF(C395="8_1",9,25))</f>
        <v>1.0051870533894332E-6</v>
      </c>
    </row>
    <row r="396" spans="1:6" ht="12.75" x14ac:dyDescent="0.2">
      <c r="A396" s="1">
        <v>16</v>
      </c>
      <c r="B396" s="1">
        <v>2</v>
      </c>
      <c r="C396" s="1" t="s">
        <v>7</v>
      </c>
      <c r="D396" s="1" t="s">
        <v>9</v>
      </c>
      <c r="E396" s="1">
        <v>1.85714960098266</v>
      </c>
      <c r="F396" s="1">
        <f>Tabla1[[#This Row],[tiempo]]/(IF(Tabla1[[#This Row],[tamanho]]=$I$3,$L$3,IF(Tabla1[[#This Row],[tamanho]]=$I$4,$L$4,IF(Tabla1[[#This Row],[tamanho]]=$I$5,$L$5,IF(Tabla1[[#This Row],[tamanho]]=$I$6,$L$6,0))))*IF(C396="8_1",9,25))</f>
        <v>4.0477972144650997E-7</v>
      </c>
    </row>
    <row r="397" spans="1:6" ht="12.75" x14ac:dyDescent="0.2">
      <c r="A397" s="1">
        <v>16</v>
      </c>
      <c r="B397" s="1">
        <v>2</v>
      </c>
      <c r="C397" s="1" t="s">
        <v>8</v>
      </c>
      <c r="D397" s="1" t="s">
        <v>9</v>
      </c>
      <c r="E397" s="1">
        <v>1.8805296421051001</v>
      </c>
      <c r="F397" s="1">
        <f>Tabla1[[#This Row],[tiempo]]/(IF(Tabla1[[#This Row],[tamanho]]=$I$3,$L$3,IF(Tabla1[[#This Row],[tamanho]]=$I$4,$L$4,IF(Tabla1[[#This Row],[tamanho]]=$I$5,$L$5,IF(Tabla1[[#This Row],[tamanho]]=$I$6,$L$6,0))))*IF(C397="8_1",9,25))</f>
        <v>4.0987557722890992E-7</v>
      </c>
    </row>
    <row r="398" spans="1:6" ht="12.75" x14ac:dyDescent="0.2">
      <c r="A398" s="1">
        <v>16</v>
      </c>
      <c r="B398" s="1">
        <v>3</v>
      </c>
      <c r="C398" s="1" t="s">
        <v>5</v>
      </c>
      <c r="D398" s="1" t="s">
        <v>6</v>
      </c>
      <c r="E398" s="1">
        <v>3.7796640396118102</v>
      </c>
      <c r="F398" s="1">
        <f>Tabla1[[#This Row],[tiempo]]/(IF(Tabla1[[#This Row],[tamanho]]=$I$3,$L$3,IF(Tabla1[[#This Row],[tamanho]]=$I$4,$L$4,IF(Tabla1[[#This Row],[tamanho]]=$I$5,$L$5,IF(Tabla1[[#This Row],[tamanho]]=$I$6,$L$6,0))))*IF(C398="8_1",9,25))</f>
        <v>1.0162362307544747E-6</v>
      </c>
    </row>
    <row r="399" spans="1:6" ht="12.75" x14ac:dyDescent="0.2">
      <c r="A399" s="1">
        <v>16</v>
      </c>
      <c r="B399" s="1">
        <v>3</v>
      </c>
      <c r="C399" s="1" t="s">
        <v>7</v>
      </c>
      <c r="D399" s="1" t="s">
        <v>6</v>
      </c>
      <c r="E399" s="1">
        <v>4.2152762413024902</v>
      </c>
      <c r="F399" s="1">
        <f>Tabla1[[#This Row],[tiempo]]/(IF(Tabla1[[#This Row],[tamanho]]=$I$3,$L$3,IF(Tabla1[[#This Row],[tamanho]]=$I$4,$L$4,IF(Tabla1[[#This Row],[tamanho]]=$I$5,$L$5,IF(Tabla1[[#This Row],[tamanho]]=$I$6,$L$6,0))))*IF(C399="8_1",9,25))</f>
        <v>4.0800925740914065E-7</v>
      </c>
    </row>
    <row r="400" spans="1:6" ht="12.75" x14ac:dyDescent="0.2">
      <c r="A400" s="1">
        <v>16</v>
      </c>
      <c r="B400" s="1">
        <v>3</v>
      </c>
      <c r="C400" s="1" t="s">
        <v>8</v>
      </c>
      <c r="D400" s="1" t="s">
        <v>6</v>
      </c>
      <c r="E400" s="1">
        <v>4.27021980285644</v>
      </c>
      <c r="F400" s="1">
        <f>Tabla1[[#This Row],[tiempo]]/(IF(Tabla1[[#This Row],[tamanho]]=$I$3,$L$3,IF(Tabla1[[#This Row],[tamanho]]=$I$4,$L$4,IF(Tabla1[[#This Row],[tamanho]]=$I$5,$L$5,IF(Tabla1[[#This Row],[tamanho]]=$I$6,$L$6,0))))*IF(C400="8_1",9,25))</f>
        <v>4.1332740987786562E-7</v>
      </c>
    </row>
    <row r="401" spans="1:6" ht="12.75" x14ac:dyDescent="0.2">
      <c r="A401" s="1">
        <v>16</v>
      </c>
      <c r="B401" s="1">
        <v>3</v>
      </c>
      <c r="C401" s="1" t="s">
        <v>5</v>
      </c>
      <c r="D401" s="1" t="s">
        <v>9</v>
      </c>
      <c r="E401" s="1">
        <v>3.8271019458770699</v>
      </c>
      <c r="F401" s="1">
        <f>Tabla1[[#This Row],[tiempo]]/(IF(Tabla1[[#This Row],[tamanho]]=$I$3,$L$3,IF(Tabla1[[#This Row],[tamanho]]=$I$4,$L$4,IF(Tabla1[[#This Row],[tamanho]]=$I$5,$L$5,IF(Tabla1[[#This Row],[tamanho]]=$I$6,$L$6,0))))*IF(C401="8_1",9,25))</f>
        <v>1.0289908350136518E-6</v>
      </c>
    </row>
    <row r="402" spans="1:6" ht="12.75" x14ac:dyDescent="0.2">
      <c r="A402" s="1">
        <v>16</v>
      </c>
      <c r="B402" s="1">
        <v>3</v>
      </c>
      <c r="C402" s="1" t="s">
        <v>7</v>
      </c>
      <c r="D402" s="1" t="s">
        <v>9</v>
      </c>
      <c r="E402" s="1">
        <v>4.2535440921783403</v>
      </c>
      <c r="F402" s="1">
        <f>Tabla1[[#This Row],[tiempo]]/(IF(Tabla1[[#This Row],[tamanho]]=$I$3,$L$3,IF(Tabla1[[#This Row],[tamanho]]=$I$4,$L$4,IF(Tabla1[[#This Row],[tamanho]]=$I$5,$L$5,IF(Tabla1[[#This Row],[tamanho]]=$I$6,$L$6,0))))*IF(C402="8_1",9,25))</f>
        <v>4.1171331771852501E-7</v>
      </c>
    </row>
    <row r="403" spans="1:6" ht="12.75" x14ac:dyDescent="0.2">
      <c r="A403" s="1">
        <v>16</v>
      </c>
      <c r="B403" s="1">
        <v>3</v>
      </c>
      <c r="C403" s="1" t="s">
        <v>8</v>
      </c>
      <c r="D403" s="1" t="s">
        <v>9</v>
      </c>
      <c r="E403" s="1">
        <v>4.2782642841339102</v>
      </c>
      <c r="F403" s="1">
        <f>Tabla1[[#This Row],[tiempo]]/(IF(Tabla1[[#This Row],[tamanho]]=$I$3,$L$3,IF(Tabla1[[#This Row],[tamanho]]=$I$4,$L$4,IF(Tabla1[[#This Row],[tamanho]]=$I$5,$L$5,IF(Tabla1[[#This Row],[tamanho]]=$I$6,$L$6,0))))*IF(C403="8_1",9,25))</f>
        <v>4.1410605940031025E-7</v>
      </c>
    </row>
    <row r="404" spans="1:6" ht="12.75" x14ac:dyDescent="0.2">
      <c r="A404" s="1">
        <v>16</v>
      </c>
      <c r="B404" s="1">
        <v>4</v>
      </c>
      <c r="C404" s="1" t="s">
        <v>5</v>
      </c>
      <c r="D404" s="1" t="s">
        <v>6</v>
      </c>
      <c r="E404" s="1">
        <v>6.8102872371673504</v>
      </c>
      <c r="F404" s="1">
        <f>Tabla1[[#This Row],[tiempo]]/(IF(Tabla1[[#This Row],[tamanho]]=$I$3,$L$3,IF(Tabla1[[#This Row],[tamanho]]=$I$4,$L$4,IF(Tabla1[[#This Row],[tamanho]]=$I$5,$L$5,IF(Tabla1[[#This Row],[tamanho]]=$I$6,$L$6,0))))*IF(C404="8_1",9,25))</f>
        <v>1.0283983374727792E-6</v>
      </c>
    </row>
    <row r="405" spans="1:6" ht="12.75" x14ac:dyDescent="0.2">
      <c r="A405" s="1">
        <v>16</v>
      </c>
      <c r="B405" s="1">
        <v>4</v>
      </c>
      <c r="C405" s="1" t="s">
        <v>7</v>
      </c>
      <c r="D405" s="1" t="s">
        <v>6</v>
      </c>
      <c r="E405" s="1">
        <v>7.6080684661865199</v>
      </c>
      <c r="F405" s="1">
        <f>Tabla1[[#This Row],[tiempo]]/(IF(Tabla1[[#This Row],[tamanho]]=$I$3,$L$3,IF(Tabla1[[#This Row],[tamanho]]=$I$4,$L$4,IF(Tabla1[[#This Row],[tamanho]]=$I$5,$L$5,IF(Tabla1[[#This Row],[tamanho]]=$I$6,$L$6,0))))*IF(C405="8_1",9,25))</f>
        <v>4.1359268533488013E-7</v>
      </c>
    </row>
    <row r="406" spans="1:6" ht="12.75" x14ac:dyDescent="0.2">
      <c r="A406" s="1">
        <v>16</v>
      </c>
      <c r="B406" s="1">
        <v>4</v>
      </c>
      <c r="C406" s="1" t="s">
        <v>8</v>
      </c>
      <c r="D406" s="1" t="s">
        <v>6</v>
      </c>
      <c r="E406" s="1">
        <v>7.6685645580291704</v>
      </c>
      <c r="F406" s="1">
        <f>Tabla1[[#This Row],[tiempo]]/(IF(Tabla1[[#This Row],[tamanho]]=$I$3,$L$3,IF(Tabla1[[#This Row],[tamanho]]=$I$4,$L$4,IF(Tabla1[[#This Row],[tamanho]]=$I$5,$L$5,IF(Tabla1[[#This Row],[tamanho]]=$I$6,$L$6,0))))*IF(C406="8_1",9,25))</f>
        <v>4.1688139667977273E-7</v>
      </c>
    </row>
    <row r="407" spans="1:6" ht="12.75" x14ac:dyDescent="0.2">
      <c r="A407" s="1">
        <v>16</v>
      </c>
      <c r="B407" s="1">
        <v>4</v>
      </c>
      <c r="C407" s="1" t="s">
        <v>5</v>
      </c>
      <c r="D407" s="1" t="s">
        <v>9</v>
      </c>
      <c r="E407" s="1">
        <v>6.8458983898162797</v>
      </c>
      <c r="F407" s="1">
        <f>Tabla1[[#This Row],[tiempo]]/(IF(Tabla1[[#This Row],[tamanho]]=$I$3,$L$3,IF(Tabla1[[#This Row],[tamanho]]=$I$4,$L$4,IF(Tabla1[[#This Row],[tamanho]]=$I$5,$L$5,IF(Tabla1[[#This Row],[tamanho]]=$I$6,$L$6,0))))*IF(C407="8_1",9,25))</f>
        <v>1.0337758566440384E-6</v>
      </c>
    </row>
    <row r="408" spans="1:6" ht="12.75" x14ac:dyDescent="0.2">
      <c r="A408" s="1">
        <v>16</v>
      </c>
      <c r="B408" s="1">
        <v>4</v>
      </c>
      <c r="C408" s="1" t="s">
        <v>7</v>
      </c>
      <c r="D408" s="1" t="s">
        <v>9</v>
      </c>
      <c r="E408" s="1">
        <v>7.5673952102661097</v>
      </c>
      <c r="F408" s="1">
        <f>Tabla1[[#This Row],[tiempo]]/(IF(Tabla1[[#This Row],[tamanho]]=$I$3,$L$3,IF(Tabla1[[#This Row],[tamanho]]=$I$4,$L$4,IF(Tabla1[[#This Row],[tamanho]]=$I$5,$L$5,IF(Tabla1[[#This Row],[tamanho]]=$I$6,$L$6,0))))*IF(C408="8_1",9,25))</f>
        <v>4.1138159046734574E-7</v>
      </c>
    </row>
    <row r="409" spans="1:6" ht="12.75" x14ac:dyDescent="0.2">
      <c r="A409" s="1">
        <v>16</v>
      </c>
      <c r="B409" s="1">
        <v>4</v>
      </c>
      <c r="C409" s="1" t="s">
        <v>8</v>
      </c>
      <c r="D409" s="1" t="s">
        <v>9</v>
      </c>
      <c r="E409" s="1">
        <v>7.6893186569213796</v>
      </c>
      <c r="F409" s="1">
        <f>Tabla1[[#This Row],[tiempo]]/(IF(Tabla1[[#This Row],[tamanho]]=$I$3,$L$3,IF(Tabla1[[#This Row],[tamanho]]=$I$4,$L$4,IF(Tabla1[[#This Row],[tamanho]]=$I$5,$L$5,IF(Tabla1[[#This Row],[tamanho]]=$I$6,$L$6,0))))*IF(C409="8_1",9,25))</f>
        <v>4.1800963882568457E-7</v>
      </c>
    </row>
    <row r="410" spans="1:6" ht="12.75" x14ac:dyDescent="0.2">
      <c r="A410" s="1">
        <v>17</v>
      </c>
      <c r="B410" s="1">
        <v>1</v>
      </c>
      <c r="C410" s="1" t="s">
        <v>5</v>
      </c>
      <c r="D410" s="1" t="s">
        <v>6</v>
      </c>
      <c r="E410" s="1">
        <v>0.407216787338256</v>
      </c>
      <c r="F410" s="1">
        <f>Tabla1[[#This Row],[tiempo]]/(IF(Tabla1[[#This Row],[tamanho]]=$I$3,$L$3,IF(Tabla1[[#This Row],[tamanho]]=$I$4,$L$4,IF(Tabla1[[#This Row],[tamanho]]=$I$5,$L$5,IF(Tabla1[[#This Row],[tamanho]]=$I$6,$L$6,0))))*IF(C410="8_1",9,25))</f>
        <v>1.6782133342328055E-6</v>
      </c>
    </row>
    <row r="411" spans="1:6" ht="12.75" x14ac:dyDescent="0.2">
      <c r="A411" s="1">
        <v>17</v>
      </c>
      <c r="B411" s="1">
        <v>1</v>
      </c>
      <c r="C411" s="1" t="s">
        <v>7</v>
      </c>
      <c r="D411" s="1" t="s">
        <v>6</v>
      </c>
      <c r="E411" s="1">
        <v>0.45381069183349598</v>
      </c>
      <c r="F411" s="1">
        <f>Tabla1[[#This Row],[tiempo]]/(IF(Tabla1[[#This Row],[tamanho]]=$I$3,$L$3,IF(Tabla1[[#This Row],[tamanho]]=$I$4,$L$4,IF(Tabla1[[#This Row],[tamanho]]=$I$5,$L$5,IF(Tabla1[[#This Row],[tamanho]]=$I$6,$L$6,0))))*IF(C411="8_1",9,25))</f>
        <v>6.7328465833388378E-7</v>
      </c>
    </row>
    <row r="412" spans="1:6" ht="12.75" x14ac:dyDescent="0.2">
      <c r="A412" s="1">
        <v>17</v>
      </c>
      <c r="B412" s="1">
        <v>1</v>
      </c>
      <c r="C412" s="1" t="s">
        <v>8</v>
      </c>
      <c r="D412" s="1" t="s">
        <v>6</v>
      </c>
      <c r="E412" s="1">
        <v>0.49395537376403797</v>
      </c>
      <c r="F412" s="1">
        <f>Tabla1[[#This Row],[tiempo]]/(IF(Tabla1[[#This Row],[tamanho]]=$I$3,$L$3,IF(Tabla1[[#This Row],[tamanho]]=$I$4,$L$4,IF(Tabla1[[#This Row],[tamanho]]=$I$5,$L$5,IF(Tabla1[[#This Row],[tamanho]]=$I$6,$L$6,0))))*IF(C412="8_1",9,25))</f>
        <v>7.3284429177558396E-7</v>
      </c>
    </row>
    <row r="413" spans="1:6" ht="12.75" x14ac:dyDescent="0.2">
      <c r="A413" s="1">
        <v>17</v>
      </c>
      <c r="B413" s="1">
        <v>1</v>
      </c>
      <c r="C413" s="1" t="s">
        <v>5</v>
      </c>
      <c r="D413" s="1" t="s">
        <v>9</v>
      </c>
      <c r="E413" s="1">
        <v>0.43225765228271401</v>
      </c>
      <c r="F413" s="1">
        <f>Tabla1[[#This Row],[tiempo]]/(IF(Tabla1[[#This Row],[tamanho]]=$I$3,$L$3,IF(Tabla1[[#This Row],[tamanho]]=$I$4,$L$4,IF(Tabla1[[#This Row],[tamanho]]=$I$5,$L$5,IF(Tabla1[[#This Row],[tamanho]]=$I$6,$L$6,0))))*IF(C413="8_1",9,25))</f>
        <v>1.7814112247844169E-6</v>
      </c>
    </row>
    <row r="414" spans="1:6" ht="12.75" x14ac:dyDescent="0.2">
      <c r="A414" s="1">
        <v>17</v>
      </c>
      <c r="B414" s="1">
        <v>1</v>
      </c>
      <c r="C414" s="1" t="s">
        <v>7</v>
      </c>
      <c r="D414" s="1" t="s">
        <v>9</v>
      </c>
      <c r="E414" s="1">
        <v>0.46346116065978998</v>
      </c>
      <c r="F414" s="1">
        <f>Tabla1[[#This Row],[tiempo]]/(IF(Tabla1[[#This Row],[tamanho]]=$I$3,$L$3,IF(Tabla1[[#This Row],[tamanho]]=$I$4,$L$4,IF(Tabla1[[#This Row],[tamanho]]=$I$5,$L$5,IF(Tabla1[[#This Row],[tamanho]]=$I$6,$L$6,0))))*IF(C414="8_1",9,25))</f>
        <v>6.8760233026933718E-7</v>
      </c>
    </row>
    <row r="415" spans="1:6" ht="12.75" x14ac:dyDescent="0.2">
      <c r="A415" s="1">
        <v>17</v>
      </c>
      <c r="B415" s="1">
        <v>1</v>
      </c>
      <c r="C415" s="1" t="s">
        <v>8</v>
      </c>
      <c r="D415" s="1" t="s">
        <v>9</v>
      </c>
      <c r="E415" s="1">
        <v>0.48187851905822698</v>
      </c>
      <c r="F415" s="1">
        <f>Tabla1[[#This Row],[tiempo]]/(IF(Tabla1[[#This Row],[tamanho]]=$I$3,$L$3,IF(Tabla1[[#This Row],[tamanho]]=$I$4,$L$4,IF(Tabla1[[#This Row],[tamanho]]=$I$5,$L$5,IF(Tabla1[[#This Row],[tamanho]]=$I$6,$L$6,0))))*IF(C415="8_1",9,25))</f>
        <v>7.1492677431582953E-7</v>
      </c>
    </row>
    <row r="416" spans="1:6" ht="12.75" x14ac:dyDescent="0.2">
      <c r="A416" s="1">
        <v>17</v>
      </c>
      <c r="B416" s="1">
        <v>2</v>
      </c>
      <c r="C416" s="1" t="s">
        <v>5</v>
      </c>
      <c r="D416" s="1" t="s">
        <v>6</v>
      </c>
      <c r="E416" s="1">
        <v>1.69609475135803</v>
      </c>
      <c r="F416" s="1">
        <f>Tabla1[[#This Row],[tiempo]]/(IF(Tabla1[[#This Row],[tamanho]]=$I$3,$L$3,IF(Tabla1[[#This Row],[tamanho]]=$I$4,$L$4,IF(Tabla1[[#This Row],[tamanho]]=$I$5,$L$5,IF(Tabla1[[#This Row],[tamanho]]=$I$6,$L$6,0))))*IF(C416="8_1",9,25))</f>
        <v>1.0268794606265976E-6</v>
      </c>
    </row>
    <row r="417" spans="1:6" ht="12.75" x14ac:dyDescent="0.2">
      <c r="A417" s="1">
        <v>17</v>
      </c>
      <c r="B417" s="1">
        <v>2</v>
      </c>
      <c r="C417" s="1" t="s">
        <v>7</v>
      </c>
      <c r="D417" s="1" t="s">
        <v>6</v>
      </c>
      <c r="E417" s="1">
        <v>1.8708233833312899</v>
      </c>
      <c r="F417" s="1">
        <f>Tabla1[[#This Row],[tiempo]]/(IF(Tabla1[[#This Row],[tamanho]]=$I$3,$L$3,IF(Tabla1[[#This Row],[tamanho]]=$I$4,$L$4,IF(Tabla1[[#This Row],[tamanho]]=$I$5,$L$5,IF(Tabla1[[#This Row],[tamanho]]=$I$6,$L$6,0))))*IF(C417="8_1",9,25))</f>
        <v>4.0776002513732197E-7</v>
      </c>
    </row>
    <row r="418" spans="1:6" ht="12.75" x14ac:dyDescent="0.2">
      <c r="A418" s="1">
        <v>17</v>
      </c>
      <c r="B418" s="1">
        <v>2</v>
      </c>
      <c r="C418" s="1" t="s">
        <v>8</v>
      </c>
      <c r="D418" s="1" t="s">
        <v>6</v>
      </c>
      <c r="E418" s="1">
        <v>1.8754036426544101</v>
      </c>
      <c r="F418" s="1">
        <f>Tabla1[[#This Row],[tiempo]]/(IF(Tabla1[[#This Row],[tamanho]]=$I$3,$L$3,IF(Tabla1[[#This Row],[tamanho]]=$I$4,$L$4,IF(Tabla1[[#This Row],[tamanho]]=$I$5,$L$5,IF(Tabla1[[#This Row],[tamanho]]=$I$6,$L$6,0))))*IF(C418="8_1",9,25))</f>
        <v>4.0875832710070945E-7</v>
      </c>
    </row>
    <row r="419" spans="1:6" ht="12.75" x14ac:dyDescent="0.2">
      <c r="A419" s="1">
        <v>17</v>
      </c>
      <c r="B419" s="1">
        <v>2</v>
      </c>
      <c r="C419" s="1" t="s">
        <v>5</v>
      </c>
      <c r="D419" s="1" t="s">
        <v>9</v>
      </c>
      <c r="E419" s="1">
        <v>1.6945652961730899</v>
      </c>
      <c r="F419" s="1">
        <f>Tabla1[[#This Row],[tiempo]]/(IF(Tabla1[[#This Row],[tamanho]]=$I$3,$L$3,IF(Tabla1[[#This Row],[tamanho]]=$I$4,$L$4,IF(Tabla1[[#This Row],[tamanho]]=$I$5,$L$5,IF(Tabla1[[#This Row],[tamanho]]=$I$6,$L$6,0))))*IF(C419="8_1",9,25))</f>
        <v>1.0259534710177586E-6</v>
      </c>
    </row>
    <row r="420" spans="1:6" ht="12.75" x14ac:dyDescent="0.2">
      <c r="A420" s="1">
        <v>17</v>
      </c>
      <c r="B420" s="1">
        <v>2</v>
      </c>
      <c r="C420" s="1" t="s">
        <v>7</v>
      </c>
      <c r="D420" s="1" t="s">
        <v>9</v>
      </c>
      <c r="E420" s="1">
        <v>1.8676388263702299</v>
      </c>
      <c r="F420" s="1">
        <f>Tabla1[[#This Row],[tiempo]]/(IF(Tabla1[[#This Row],[tamanho]]=$I$3,$L$3,IF(Tabla1[[#This Row],[tamanho]]=$I$4,$L$4,IF(Tabla1[[#This Row],[tamanho]]=$I$5,$L$5,IF(Tabla1[[#This Row],[tamanho]]=$I$6,$L$6,0))))*IF(C420="8_1",9,25))</f>
        <v>4.0706592699953789E-7</v>
      </c>
    </row>
    <row r="421" spans="1:6" ht="12.75" x14ac:dyDescent="0.2">
      <c r="A421" s="1">
        <v>17</v>
      </c>
      <c r="B421" s="1">
        <v>2</v>
      </c>
      <c r="C421" s="1" t="s">
        <v>8</v>
      </c>
      <c r="D421" s="1" t="s">
        <v>9</v>
      </c>
      <c r="E421" s="1">
        <v>1.8840763568878101</v>
      </c>
      <c r="F421" s="1">
        <f>Tabla1[[#This Row],[tiempo]]/(IF(Tabla1[[#This Row],[tamanho]]=$I$3,$L$3,IF(Tabla1[[#This Row],[tamanho]]=$I$4,$L$4,IF(Tabla1[[#This Row],[tamanho]]=$I$5,$L$5,IF(Tabla1[[#This Row],[tamanho]]=$I$6,$L$6,0))))*IF(C421="8_1",9,25))</f>
        <v>4.1064861038737811E-7</v>
      </c>
    </row>
    <row r="422" spans="1:6" ht="12.75" x14ac:dyDescent="0.2">
      <c r="A422" s="1">
        <v>17</v>
      </c>
      <c r="B422" s="1">
        <v>3</v>
      </c>
      <c r="C422" s="1" t="s">
        <v>5</v>
      </c>
      <c r="D422" s="1" t="s">
        <v>6</v>
      </c>
      <c r="E422" s="1">
        <v>3.7849974632263099</v>
      </c>
      <c r="F422" s="1">
        <f>Tabla1[[#This Row],[tiempo]]/(IF(Tabla1[[#This Row],[tamanho]]=$I$3,$L$3,IF(Tabla1[[#This Row],[tamanho]]=$I$4,$L$4,IF(Tabla1[[#This Row],[tamanho]]=$I$5,$L$5,IF(Tabla1[[#This Row],[tamanho]]=$I$6,$L$6,0))))*IF(C422="8_1",9,25))</f>
        <v>1.0176702254836921E-6</v>
      </c>
    </row>
    <row r="423" spans="1:6" ht="12.75" x14ac:dyDescent="0.2">
      <c r="A423" s="1">
        <v>17</v>
      </c>
      <c r="B423" s="1">
        <v>3</v>
      </c>
      <c r="C423" s="1" t="s">
        <v>7</v>
      </c>
      <c r="D423" s="1" t="s">
        <v>6</v>
      </c>
      <c r="E423" s="1">
        <v>4.2514591217040998</v>
      </c>
      <c r="F423" s="1">
        <f>Tabla1[[#This Row],[tiempo]]/(IF(Tabla1[[#This Row],[tamanho]]=$I$3,$L$3,IF(Tabla1[[#This Row],[tamanho]]=$I$4,$L$4,IF(Tabla1[[#This Row],[tamanho]]=$I$5,$L$5,IF(Tabla1[[#This Row],[tamanho]]=$I$6,$L$6,0))))*IF(C423="8_1",9,25))</f>
        <v>4.1151150715944953E-7</v>
      </c>
    </row>
    <row r="424" spans="1:6" ht="12.75" x14ac:dyDescent="0.2">
      <c r="A424" s="1">
        <v>17</v>
      </c>
      <c r="B424" s="1">
        <v>3</v>
      </c>
      <c r="C424" s="1" t="s">
        <v>8</v>
      </c>
      <c r="D424" s="1" t="s">
        <v>6</v>
      </c>
      <c r="E424" s="1">
        <v>4.2760889530181796</v>
      </c>
      <c r="F424" s="1">
        <f>Tabla1[[#This Row],[tiempo]]/(IF(Tabla1[[#This Row],[tamanho]]=$I$3,$L$3,IF(Tabla1[[#This Row],[tamanho]]=$I$4,$L$4,IF(Tabla1[[#This Row],[tamanho]]=$I$5,$L$5,IF(Tabla1[[#This Row],[tamanho]]=$I$6,$L$6,0))))*IF(C424="8_1",9,25))</f>
        <v>4.1389550256314457E-7</v>
      </c>
    </row>
    <row r="425" spans="1:6" ht="12.75" x14ac:dyDescent="0.2">
      <c r="A425" s="1">
        <v>17</v>
      </c>
      <c r="B425" s="1">
        <v>3</v>
      </c>
      <c r="C425" s="1" t="s">
        <v>5</v>
      </c>
      <c r="D425" s="1" t="s">
        <v>9</v>
      </c>
      <c r="E425" s="1">
        <v>3.7799515724182098</v>
      </c>
      <c r="F425" s="1">
        <f>Tabla1[[#This Row],[tiempo]]/(IF(Tabla1[[#This Row],[tamanho]]=$I$3,$L$3,IF(Tabla1[[#This Row],[tamanho]]=$I$4,$L$4,IF(Tabla1[[#This Row],[tamanho]]=$I$5,$L$5,IF(Tabla1[[#This Row],[tamanho]]=$I$6,$L$6,0))))*IF(C425="8_1",9,25))</f>
        <v>1.0163135395449734E-6</v>
      </c>
    </row>
    <row r="426" spans="1:6" ht="12.75" x14ac:dyDescent="0.2">
      <c r="A426" s="1">
        <v>17</v>
      </c>
      <c r="B426" s="1">
        <v>3</v>
      </c>
      <c r="C426" s="1" t="s">
        <v>7</v>
      </c>
      <c r="D426" s="1" t="s">
        <v>9</v>
      </c>
      <c r="E426" s="1">
        <v>4.22147512435913</v>
      </c>
      <c r="F426" s="1">
        <f>Tabla1[[#This Row],[tiempo]]/(IF(Tabla1[[#This Row],[tamanho]]=$I$3,$L$3,IF(Tabla1[[#This Row],[tamanho]]=$I$4,$L$4,IF(Tabla1[[#This Row],[tamanho]]=$I$5,$L$5,IF(Tabla1[[#This Row],[tamanho]]=$I$6,$L$6,0))))*IF(C426="8_1",9,25))</f>
        <v>4.086092659324075E-7</v>
      </c>
    </row>
    <row r="427" spans="1:6" ht="12.75" x14ac:dyDescent="0.2">
      <c r="A427" s="1">
        <v>17</v>
      </c>
      <c r="B427" s="1">
        <v>3</v>
      </c>
      <c r="C427" s="1" t="s">
        <v>8</v>
      </c>
      <c r="D427" s="1" t="s">
        <v>9</v>
      </c>
      <c r="E427" s="1">
        <v>4.2877674102783203</v>
      </c>
      <c r="F427" s="1">
        <f>Tabla1[[#This Row],[tiempo]]/(IF(Tabla1[[#This Row],[tamanho]]=$I$3,$L$3,IF(Tabla1[[#This Row],[tamanho]]=$I$4,$L$4,IF(Tabla1[[#This Row],[tamanho]]=$I$5,$L$5,IF(Tabla1[[#This Row],[tamanho]]=$I$6,$L$6,0))))*IF(C427="8_1",9,25))</f>
        <v>4.1502589554372942E-7</v>
      </c>
    </row>
    <row r="428" spans="1:6" ht="12.75" x14ac:dyDescent="0.2">
      <c r="A428" s="1">
        <v>17</v>
      </c>
      <c r="B428" s="1">
        <v>4</v>
      </c>
      <c r="C428" s="1" t="s">
        <v>5</v>
      </c>
      <c r="D428" s="1" t="s">
        <v>6</v>
      </c>
      <c r="E428" s="1">
        <v>6.8509440422058097</v>
      </c>
      <c r="F428" s="1">
        <f>Tabla1[[#This Row],[tiempo]]/(IF(Tabla1[[#This Row],[tamanho]]=$I$3,$L$3,IF(Tabla1[[#This Row],[tamanho]]=$I$4,$L$4,IF(Tabla1[[#This Row],[tamanho]]=$I$5,$L$5,IF(Tabla1[[#This Row],[tamanho]]=$I$6,$L$6,0))))*IF(C428="8_1",9,25))</f>
        <v>1.0345377834685839E-6</v>
      </c>
    </row>
    <row r="429" spans="1:6" ht="12.75" x14ac:dyDescent="0.2">
      <c r="A429" s="1">
        <v>17</v>
      </c>
      <c r="B429" s="1">
        <v>4</v>
      </c>
      <c r="C429" s="1" t="s">
        <v>7</v>
      </c>
      <c r="D429" s="1" t="s">
        <v>6</v>
      </c>
      <c r="E429" s="1">
        <v>7.8213002681732098</v>
      </c>
      <c r="F429" s="1">
        <f>Tabla1[[#This Row],[tiempo]]/(IF(Tabla1[[#This Row],[tamanho]]=$I$3,$L$3,IF(Tabla1[[#This Row],[tamanho]]=$I$4,$L$4,IF(Tabla1[[#This Row],[tamanho]]=$I$5,$L$5,IF(Tabla1[[#This Row],[tamanho]]=$I$6,$L$6,0))))*IF(C429="8_1",9,25))</f>
        <v>4.2518447291860508E-7</v>
      </c>
    </row>
    <row r="430" spans="1:6" ht="12.75" x14ac:dyDescent="0.2">
      <c r="A430" s="1">
        <v>17</v>
      </c>
      <c r="B430" s="1">
        <v>4</v>
      </c>
      <c r="C430" s="1" t="s">
        <v>8</v>
      </c>
      <c r="D430" s="1" t="s">
        <v>6</v>
      </c>
      <c r="E430" s="1">
        <v>7.7226653099059996</v>
      </c>
      <c r="F430" s="1">
        <f>Tabla1[[#This Row],[tiempo]]/(IF(Tabla1[[#This Row],[tamanho]]=$I$3,$L$3,IF(Tabla1[[#This Row],[tamanho]]=$I$4,$L$4,IF(Tabla1[[#This Row],[tamanho]]=$I$5,$L$5,IF(Tabla1[[#This Row],[tamanho]]=$I$6,$L$6,0))))*IF(C430="8_1",9,25))</f>
        <v>4.1982244214312795E-7</v>
      </c>
    </row>
    <row r="431" spans="1:6" ht="12.75" x14ac:dyDescent="0.2">
      <c r="A431" s="1">
        <v>17</v>
      </c>
      <c r="B431" s="1">
        <v>4</v>
      </c>
      <c r="C431" s="1" t="s">
        <v>5</v>
      </c>
      <c r="D431" s="1" t="s">
        <v>9</v>
      </c>
      <c r="E431" s="1">
        <v>6.8447332382202104</v>
      </c>
      <c r="F431" s="1">
        <f>Tabla1[[#This Row],[tiempo]]/(IF(Tabla1[[#This Row],[tamanho]]=$I$3,$L$3,IF(Tabla1[[#This Row],[tamanho]]=$I$4,$L$4,IF(Tabla1[[#This Row],[tamanho]]=$I$5,$L$5,IF(Tabla1[[#This Row],[tamanho]]=$I$6,$L$6,0))))*IF(C431="8_1",9,25))</f>
        <v>1.033599911060163E-6</v>
      </c>
    </row>
    <row r="432" spans="1:6" ht="12.75" x14ac:dyDescent="0.2">
      <c r="A432" s="1">
        <v>17</v>
      </c>
      <c r="B432" s="1">
        <v>4</v>
      </c>
      <c r="C432" s="1" t="s">
        <v>7</v>
      </c>
      <c r="D432" s="1" t="s">
        <v>9</v>
      </c>
      <c r="E432" s="1">
        <v>7.8351280689239502</v>
      </c>
      <c r="F432" s="1">
        <f>Tabla1[[#This Row],[tiempo]]/(IF(Tabla1[[#This Row],[tamanho]]=$I$3,$L$3,IF(Tabla1[[#This Row],[tamanho]]=$I$4,$L$4,IF(Tabla1[[#This Row],[tamanho]]=$I$5,$L$5,IF(Tabla1[[#This Row],[tamanho]]=$I$6,$L$6,0))))*IF(C432="8_1",9,25))</f>
        <v>4.2593618503452421E-7</v>
      </c>
    </row>
    <row r="433" spans="1:6" ht="12.75" x14ac:dyDescent="0.2">
      <c r="A433" s="1">
        <v>17</v>
      </c>
      <c r="B433" s="1">
        <v>4</v>
      </c>
      <c r="C433" s="1" t="s">
        <v>8</v>
      </c>
      <c r="D433" s="1" t="s">
        <v>9</v>
      </c>
      <c r="E433" s="1">
        <v>7.7432444095611501</v>
      </c>
      <c r="F433" s="1">
        <f>Tabla1[[#This Row],[tiempo]]/(IF(Tabla1[[#This Row],[tamanho]]=$I$3,$L$3,IF(Tabla1[[#This Row],[tamanho]]=$I$4,$L$4,IF(Tabla1[[#This Row],[tamanho]]=$I$5,$L$5,IF(Tabla1[[#This Row],[tamanho]]=$I$6,$L$6,0))))*IF(C433="8_1",9,25))</f>
        <v>4.2094117091456002E-7</v>
      </c>
    </row>
    <row r="434" spans="1:6" ht="12.75" x14ac:dyDescent="0.2">
      <c r="A434" s="1">
        <v>18</v>
      </c>
      <c r="B434" s="1">
        <v>1</v>
      </c>
      <c r="C434" s="1" t="s">
        <v>5</v>
      </c>
      <c r="D434" s="1" t="s">
        <v>6</v>
      </c>
      <c r="E434" s="1">
        <v>0.40592741966247498</v>
      </c>
      <c r="F434" s="1">
        <f>Tabla1[[#This Row],[tiempo]]/(IF(Tabla1[[#This Row],[tamanho]]=$I$3,$L$3,IF(Tabla1[[#This Row],[tamanho]]=$I$4,$L$4,IF(Tabla1[[#This Row],[tamanho]]=$I$5,$L$5,IF(Tabla1[[#This Row],[tamanho]]=$I$6,$L$6,0))))*IF(C434="8_1",9,25))</f>
        <v>1.6728996190483989E-6</v>
      </c>
    </row>
    <row r="435" spans="1:6" ht="12.75" x14ac:dyDescent="0.2">
      <c r="A435" s="1">
        <v>18</v>
      </c>
      <c r="B435" s="1">
        <v>1</v>
      </c>
      <c r="C435" s="1" t="s">
        <v>7</v>
      </c>
      <c r="D435" s="1" t="s">
        <v>6</v>
      </c>
      <c r="E435" s="1">
        <v>0.45729303359985302</v>
      </c>
      <c r="F435" s="1">
        <f>Tabla1[[#This Row],[tiempo]]/(IF(Tabla1[[#This Row],[tamanho]]=$I$3,$L$3,IF(Tabla1[[#This Row],[tamanho]]=$I$4,$L$4,IF(Tabla1[[#This Row],[tamanho]]=$I$5,$L$5,IF(Tabla1[[#This Row],[tamanho]]=$I$6,$L$6,0))))*IF(C435="8_1",9,25))</f>
        <v>6.7845114587716039E-7</v>
      </c>
    </row>
    <row r="436" spans="1:6" ht="12.75" x14ac:dyDescent="0.2">
      <c r="A436" s="1">
        <v>18</v>
      </c>
      <c r="B436" s="1">
        <v>1</v>
      </c>
      <c r="C436" s="1" t="s">
        <v>8</v>
      </c>
      <c r="D436" s="1" t="s">
        <v>6</v>
      </c>
      <c r="E436" s="1">
        <v>0.45994734764099099</v>
      </c>
      <c r="F436" s="1">
        <f>Tabla1[[#This Row],[tiempo]]/(IF(Tabla1[[#This Row],[tamanho]]=$I$3,$L$3,IF(Tabla1[[#This Row],[tamanho]]=$I$4,$L$4,IF(Tabla1[[#This Row],[tamanho]]=$I$5,$L$5,IF(Tabla1[[#This Row],[tamanho]]=$I$6,$L$6,0))))*IF(C436="8_1",9,25))</f>
        <v>6.8238915120506059E-7</v>
      </c>
    </row>
    <row r="437" spans="1:6" ht="12.75" x14ac:dyDescent="0.2">
      <c r="A437" s="1">
        <v>18</v>
      </c>
      <c r="B437" s="1">
        <v>1</v>
      </c>
      <c r="C437" s="1" t="s">
        <v>5</v>
      </c>
      <c r="D437" s="1" t="s">
        <v>9</v>
      </c>
      <c r="E437" s="1">
        <v>0.40498280525207497</v>
      </c>
      <c r="F437" s="1">
        <f>Tabla1[[#This Row],[tiempo]]/(IF(Tabla1[[#This Row],[tamanho]]=$I$3,$L$3,IF(Tabla1[[#This Row],[tamanho]]=$I$4,$L$4,IF(Tabla1[[#This Row],[tamanho]]=$I$5,$L$5,IF(Tabla1[[#This Row],[tamanho]]=$I$6,$L$6,0))))*IF(C437="8_1",9,25))</f>
        <v>1.6690066938337886E-6</v>
      </c>
    </row>
    <row r="438" spans="1:6" ht="12.75" x14ac:dyDescent="0.2">
      <c r="A438" s="1">
        <v>18</v>
      </c>
      <c r="B438" s="1">
        <v>1</v>
      </c>
      <c r="C438" s="1" t="s">
        <v>7</v>
      </c>
      <c r="D438" s="1" t="s">
        <v>9</v>
      </c>
      <c r="E438" s="1">
        <v>0.455975532531738</v>
      </c>
      <c r="F438" s="1">
        <f>Tabla1[[#This Row],[tiempo]]/(IF(Tabla1[[#This Row],[tamanho]]=$I$3,$L$3,IF(Tabla1[[#This Row],[tamanho]]=$I$4,$L$4,IF(Tabla1[[#This Row],[tamanho]]=$I$5,$L$5,IF(Tabla1[[#This Row],[tamanho]]=$I$6,$L$6,0))))*IF(C438="8_1",9,25))</f>
        <v>6.7649646902079001E-7</v>
      </c>
    </row>
    <row r="439" spans="1:6" ht="12.75" x14ac:dyDescent="0.2">
      <c r="A439" s="1">
        <v>18</v>
      </c>
      <c r="B439" s="1">
        <v>1</v>
      </c>
      <c r="C439" s="1" t="s">
        <v>8</v>
      </c>
      <c r="D439" s="1" t="s">
        <v>9</v>
      </c>
      <c r="E439" s="1">
        <v>0.46177244186401301</v>
      </c>
      <c r="F439" s="1">
        <f>Tabla1[[#This Row],[tiempo]]/(IF(Tabla1[[#This Row],[tamanho]]=$I$3,$L$3,IF(Tabla1[[#This Row],[tamanho]]=$I$4,$L$4,IF(Tabla1[[#This Row],[tamanho]]=$I$5,$L$5,IF(Tabla1[[#This Row],[tamanho]]=$I$6,$L$6,0))))*IF(C439="8_1",9,25))</f>
        <v>6.8509690569936282E-7</v>
      </c>
    </row>
    <row r="440" spans="1:6" ht="12.75" x14ac:dyDescent="0.2">
      <c r="A440" s="1">
        <v>18</v>
      </c>
      <c r="B440" s="1">
        <v>2</v>
      </c>
      <c r="C440" s="1" t="s">
        <v>5</v>
      </c>
      <c r="D440" s="1" t="s">
        <v>6</v>
      </c>
      <c r="E440" s="1">
        <v>1.6783468723297099</v>
      </c>
      <c r="F440" s="1">
        <f>Tabla1[[#This Row],[tiempo]]/(IF(Tabla1[[#This Row],[tamanho]]=$I$3,$L$3,IF(Tabla1[[#This Row],[tamanho]]=$I$4,$L$4,IF(Tabla1[[#This Row],[tamanho]]=$I$5,$L$5,IF(Tabla1[[#This Row],[tamanho]]=$I$6,$L$6,0))))*IF(C440="8_1",9,25))</f>
        <v>1.0161342281274846E-6</v>
      </c>
    </row>
    <row r="441" spans="1:6" ht="12.75" x14ac:dyDescent="0.2">
      <c r="A441" s="1">
        <v>18</v>
      </c>
      <c r="B441" s="1">
        <v>2</v>
      </c>
      <c r="C441" s="1" t="s">
        <v>7</v>
      </c>
      <c r="D441" s="1" t="s">
        <v>6</v>
      </c>
      <c r="E441" s="1">
        <v>1.8852057456970199</v>
      </c>
      <c r="F441" s="1">
        <f>Tabla1[[#This Row],[tiempo]]/(IF(Tabla1[[#This Row],[tamanho]]=$I$3,$L$3,IF(Tabla1[[#This Row],[tamanho]]=$I$4,$L$4,IF(Tabla1[[#This Row],[tamanho]]=$I$5,$L$5,IF(Tabla1[[#This Row],[tamanho]]=$I$6,$L$6,0))))*IF(C441="8_1",9,25))</f>
        <v>4.1089476917143882E-7</v>
      </c>
    </row>
    <row r="442" spans="1:6" ht="12.75" x14ac:dyDescent="0.2">
      <c r="A442" s="1">
        <v>18</v>
      </c>
      <c r="B442" s="1">
        <v>2</v>
      </c>
      <c r="C442" s="1" t="s">
        <v>8</v>
      </c>
      <c r="D442" s="1" t="s">
        <v>6</v>
      </c>
      <c r="E442" s="1">
        <v>1.87245297431945</v>
      </c>
      <c r="F442" s="1">
        <f>Tabla1[[#This Row],[tiempo]]/(IF(Tabla1[[#This Row],[tamanho]]=$I$3,$L$3,IF(Tabla1[[#This Row],[tamanho]]=$I$4,$L$4,IF(Tabla1[[#This Row],[tamanho]]=$I$5,$L$5,IF(Tabla1[[#This Row],[tamanho]]=$I$6,$L$6,0))))*IF(C442="8_1",9,25))</f>
        <v>4.0811520674784497E-7</v>
      </c>
    </row>
    <row r="443" spans="1:6" ht="12.75" x14ac:dyDescent="0.2">
      <c r="A443" s="1">
        <v>18</v>
      </c>
      <c r="B443" s="1">
        <v>2</v>
      </c>
      <c r="C443" s="1" t="s">
        <v>5</v>
      </c>
      <c r="D443" s="1" t="s">
        <v>9</v>
      </c>
      <c r="E443" s="1">
        <v>1.6796624660491899</v>
      </c>
      <c r="F443" s="1">
        <f>Tabla1[[#This Row],[tiempo]]/(IF(Tabla1[[#This Row],[tamanho]]=$I$3,$L$3,IF(Tabla1[[#This Row],[tamanho]]=$I$4,$L$4,IF(Tabla1[[#This Row],[tamanho]]=$I$5,$L$5,IF(Tabla1[[#This Row],[tamanho]]=$I$6,$L$6,0))))*IF(C443="8_1",9,25))</f>
        <v>1.0169307379734007E-6</v>
      </c>
    </row>
    <row r="444" spans="1:6" ht="12.75" x14ac:dyDescent="0.2">
      <c r="A444" s="1">
        <v>18</v>
      </c>
      <c r="B444" s="1">
        <v>2</v>
      </c>
      <c r="C444" s="1" t="s">
        <v>7</v>
      </c>
      <c r="D444" s="1" t="s">
        <v>9</v>
      </c>
      <c r="E444" s="1">
        <v>1.8716778755187899</v>
      </c>
      <c r="F444" s="1">
        <f>Tabla1[[#This Row],[tiempo]]/(IF(Tabla1[[#This Row],[tamanho]]=$I$3,$L$3,IF(Tabla1[[#This Row],[tamanho]]=$I$4,$L$4,IF(Tabla1[[#This Row],[tamanho]]=$I$5,$L$5,IF(Tabla1[[#This Row],[tamanho]]=$I$6,$L$6,0))))*IF(C444="8_1",9,25))</f>
        <v>4.0794626813543661E-7</v>
      </c>
    </row>
    <row r="445" spans="1:6" ht="12.75" x14ac:dyDescent="0.2">
      <c r="A445" s="1">
        <v>18</v>
      </c>
      <c r="B445" s="1">
        <v>2</v>
      </c>
      <c r="C445" s="1" t="s">
        <v>8</v>
      </c>
      <c r="D445" s="1" t="s">
        <v>9</v>
      </c>
      <c r="E445" s="1">
        <v>1.8921532630920399</v>
      </c>
      <c r="F445" s="1">
        <f>Tabla1[[#This Row],[tiempo]]/(IF(Tabla1[[#This Row],[tamanho]]=$I$3,$L$3,IF(Tabla1[[#This Row],[tamanho]]=$I$4,$L$4,IF(Tabla1[[#This Row],[tamanho]]=$I$5,$L$5,IF(Tabla1[[#This Row],[tamanho]]=$I$6,$L$6,0))))*IF(C445="8_1",9,25))</f>
        <v>4.1240903283356545E-7</v>
      </c>
    </row>
    <row r="446" spans="1:6" ht="12.75" x14ac:dyDescent="0.2">
      <c r="A446" s="1">
        <v>18</v>
      </c>
      <c r="B446" s="1">
        <v>3</v>
      </c>
      <c r="C446" s="1" t="s">
        <v>5</v>
      </c>
      <c r="D446" s="1" t="s">
        <v>6</v>
      </c>
      <c r="E446" s="1">
        <v>3.7777397632598801</v>
      </c>
      <c r="F446" s="1">
        <f>Tabla1[[#This Row],[tiempo]]/(IF(Tabla1[[#This Row],[tamanho]]=$I$3,$L$3,IF(Tabla1[[#This Row],[tamanho]]=$I$4,$L$4,IF(Tabla1[[#This Row],[tamanho]]=$I$5,$L$5,IF(Tabla1[[#This Row],[tamanho]]=$I$6,$L$6,0))))*IF(C446="8_1",9,25))</f>
        <v>1.0157188516101059E-6</v>
      </c>
    </row>
    <row r="447" spans="1:6" ht="12.75" x14ac:dyDescent="0.2">
      <c r="A447" s="1">
        <v>18</v>
      </c>
      <c r="B447" s="1">
        <v>3</v>
      </c>
      <c r="C447" s="1" t="s">
        <v>7</v>
      </c>
      <c r="D447" s="1" t="s">
        <v>6</v>
      </c>
      <c r="E447" s="1">
        <v>4.2205059528350803</v>
      </c>
      <c r="F447" s="1">
        <f>Tabla1[[#This Row],[tiempo]]/(IF(Tabla1[[#This Row],[tamanho]]=$I$3,$L$3,IF(Tabla1[[#This Row],[tamanho]]=$I$4,$L$4,IF(Tabla1[[#This Row],[tamanho]]=$I$5,$L$5,IF(Tabla1[[#This Row],[tamanho]]=$I$6,$L$6,0))))*IF(C447="8_1",9,25))</f>
        <v>4.0851545690751966E-7</v>
      </c>
    </row>
    <row r="448" spans="1:6" ht="12.75" x14ac:dyDescent="0.2">
      <c r="A448" s="1">
        <v>18</v>
      </c>
      <c r="B448" s="1">
        <v>3</v>
      </c>
      <c r="C448" s="1" t="s">
        <v>8</v>
      </c>
      <c r="D448" s="1" t="s">
        <v>6</v>
      </c>
      <c r="E448" s="1">
        <v>4.2474164962768501</v>
      </c>
      <c r="F448" s="1">
        <f>Tabla1[[#This Row],[tiempo]]/(IF(Tabla1[[#This Row],[tamanho]]=$I$3,$L$3,IF(Tabla1[[#This Row],[tamanho]]=$I$4,$L$4,IF(Tabla1[[#This Row],[tamanho]]=$I$5,$L$5,IF(Tabla1[[#This Row],[tamanho]]=$I$6,$L$6,0))))*IF(C448="8_1",9,25))</f>
        <v>4.1112020929327558E-7</v>
      </c>
    </row>
    <row r="449" spans="1:6" ht="12.75" x14ac:dyDescent="0.2">
      <c r="A449" s="1">
        <v>18</v>
      </c>
      <c r="B449" s="1">
        <v>3</v>
      </c>
      <c r="C449" s="1" t="s">
        <v>5</v>
      </c>
      <c r="D449" s="1" t="s">
        <v>9</v>
      </c>
      <c r="E449" s="1">
        <v>3.7532789707183798</v>
      </c>
      <c r="F449" s="1">
        <f>Tabla1[[#This Row],[tiempo]]/(IF(Tabla1[[#This Row],[tamanho]]=$I$3,$L$3,IF(Tabla1[[#This Row],[tamanho]]=$I$4,$L$4,IF(Tabla1[[#This Row],[tamanho]]=$I$5,$L$5,IF(Tabla1[[#This Row],[tamanho]]=$I$6,$L$6,0))))*IF(C449="8_1",9,25))</f>
        <v>1.0091420915189645E-6</v>
      </c>
    </row>
    <row r="450" spans="1:6" ht="12.75" x14ac:dyDescent="0.2">
      <c r="A450" s="1">
        <v>18</v>
      </c>
      <c r="B450" s="1">
        <v>3</v>
      </c>
      <c r="C450" s="1" t="s">
        <v>7</v>
      </c>
      <c r="D450" s="1" t="s">
        <v>9</v>
      </c>
      <c r="E450" s="1">
        <v>4.2304332256317103</v>
      </c>
      <c r="F450" s="1">
        <f>Tabla1[[#This Row],[tiempo]]/(IF(Tabla1[[#This Row],[tamanho]]=$I$3,$L$3,IF(Tabla1[[#This Row],[tamanho]]=$I$4,$L$4,IF(Tabla1[[#This Row],[tamanho]]=$I$5,$L$5,IF(Tabla1[[#This Row],[tamanho]]=$I$6,$L$6,0))))*IF(C450="8_1",9,25))</f>
        <v>4.0947634748028062E-7</v>
      </c>
    </row>
    <row r="451" spans="1:6" ht="12.75" x14ac:dyDescent="0.2">
      <c r="A451" s="1">
        <v>18</v>
      </c>
      <c r="B451" s="1">
        <v>3</v>
      </c>
      <c r="C451" s="1" t="s">
        <v>8</v>
      </c>
      <c r="D451" s="1" t="s">
        <v>9</v>
      </c>
      <c r="E451" s="1">
        <v>4.2860078811645499</v>
      </c>
      <c r="F451" s="1">
        <f>Tabla1[[#This Row],[tiempo]]/(IF(Tabla1[[#This Row],[tamanho]]=$I$3,$L$3,IF(Tabla1[[#This Row],[tamanho]]=$I$4,$L$4,IF(Tabla1[[#This Row],[tamanho]]=$I$5,$L$5,IF(Tabla1[[#This Row],[tamanho]]=$I$6,$L$6,0))))*IF(C451="8_1",9,25))</f>
        <v>4.148555854321251E-7</v>
      </c>
    </row>
    <row r="452" spans="1:6" ht="12.75" x14ac:dyDescent="0.2">
      <c r="A452" s="1">
        <v>18</v>
      </c>
      <c r="B452" s="1">
        <v>4</v>
      </c>
      <c r="C452" s="1" t="s">
        <v>5</v>
      </c>
      <c r="D452" s="1" t="s">
        <v>6</v>
      </c>
      <c r="E452" s="1">
        <v>6.8419682979583696</v>
      </c>
      <c r="F452" s="1">
        <f>Tabla1[[#This Row],[tiempo]]/(IF(Tabla1[[#This Row],[tamanho]]=$I$3,$L$3,IF(Tabla1[[#This Row],[tamanho]]=$I$4,$L$4,IF(Tabla1[[#This Row],[tamanho]]=$I$5,$L$5,IF(Tabla1[[#This Row],[tamanho]]=$I$6,$L$6,0))))*IF(C452="8_1",9,25))</f>
        <v>1.0331823868252129E-6</v>
      </c>
    </row>
    <row r="453" spans="1:6" ht="12.75" x14ac:dyDescent="0.2">
      <c r="A453" s="1">
        <v>18</v>
      </c>
      <c r="B453" s="1">
        <v>4</v>
      </c>
      <c r="C453" s="1" t="s">
        <v>7</v>
      </c>
      <c r="D453" s="1" t="s">
        <v>6</v>
      </c>
      <c r="E453" s="1">
        <v>7.6297028064727703</v>
      </c>
      <c r="F453" s="1">
        <f>Tabla1[[#This Row],[tiempo]]/(IF(Tabla1[[#This Row],[tamanho]]=$I$3,$L$3,IF(Tabla1[[#This Row],[tamanho]]=$I$4,$L$4,IF(Tabla1[[#This Row],[tamanho]]=$I$5,$L$5,IF(Tabla1[[#This Row],[tamanho]]=$I$6,$L$6,0))))*IF(C453="8_1",9,25))</f>
        <v>4.1476877949520566E-7</v>
      </c>
    </row>
    <row r="454" spans="1:6" ht="12.75" x14ac:dyDescent="0.2">
      <c r="A454" s="1">
        <v>18</v>
      </c>
      <c r="B454" s="1">
        <v>4</v>
      </c>
      <c r="C454" s="1" t="s">
        <v>8</v>
      </c>
      <c r="D454" s="1" t="s">
        <v>6</v>
      </c>
      <c r="E454" s="1">
        <v>7.6511850357055602</v>
      </c>
      <c r="F454" s="1">
        <f>Tabla1[[#This Row],[tiempo]]/(IF(Tabla1[[#This Row],[tamanho]]=$I$3,$L$3,IF(Tabla1[[#This Row],[tamanho]]=$I$4,$L$4,IF(Tabla1[[#This Row],[tamanho]]=$I$5,$L$5,IF(Tabla1[[#This Row],[tamanho]]=$I$6,$L$6,0))))*IF(C454="8_1",9,25))</f>
        <v>4.1593660453711441E-7</v>
      </c>
    </row>
    <row r="455" spans="1:6" ht="12.75" x14ac:dyDescent="0.2">
      <c r="A455" s="1">
        <v>18</v>
      </c>
      <c r="B455" s="1">
        <v>4</v>
      </c>
      <c r="C455" s="1" t="s">
        <v>5</v>
      </c>
      <c r="D455" s="1" t="s">
        <v>9</v>
      </c>
      <c r="E455" s="1">
        <v>6.84024906158447</v>
      </c>
      <c r="F455" s="1">
        <f>Tabla1[[#This Row],[tiempo]]/(IF(Tabla1[[#This Row],[tamanho]]=$I$3,$L$3,IF(Tabla1[[#This Row],[tamanho]]=$I$4,$L$4,IF(Tabla1[[#This Row],[tamanho]]=$I$5,$L$5,IF(Tabla1[[#This Row],[tamanho]]=$I$6,$L$6,0))))*IF(C455="8_1",9,25))</f>
        <v>1.0329227707815619E-6</v>
      </c>
    </row>
    <row r="456" spans="1:6" ht="12.75" x14ac:dyDescent="0.2">
      <c r="A456" s="1">
        <v>18</v>
      </c>
      <c r="B456" s="1">
        <v>4</v>
      </c>
      <c r="C456" s="1" t="s">
        <v>7</v>
      </c>
      <c r="D456" s="1" t="s">
        <v>9</v>
      </c>
      <c r="E456" s="1">
        <v>7.6285135746002197</v>
      </c>
      <c r="F456" s="1">
        <f>Tabla1[[#This Row],[tiempo]]/(IF(Tabla1[[#This Row],[tamanho]]=$I$3,$L$3,IF(Tabla1[[#This Row],[tamanho]]=$I$4,$L$4,IF(Tabla1[[#This Row],[tamanho]]=$I$5,$L$5,IF(Tabla1[[#This Row],[tamanho]]=$I$6,$L$6,0))))*IF(C456="8_1",9,25))</f>
        <v>4.1470413002394496E-7</v>
      </c>
    </row>
    <row r="457" spans="1:6" ht="12.75" x14ac:dyDescent="0.2">
      <c r="A457" s="1">
        <v>18</v>
      </c>
      <c r="B457" s="1">
        <v>4</v>
      </c>
      <c r="C457" s="1" t="s">
        <v>8</v>
      </c>
      <c r="D457" s="1" t="s">
        <v>9</v>
      </c>
      <c r="E457" s="1">
        <v>7.6875717639923096</v>
      </c>
      <c r="F457" s="1">
        <f>Tabla1[[#This Row],[tiempo]]/(IF(Tabla1[[#This Row],[tamanho]]=$I$3,$L$3,IF(Tabla1[[#This Row],[tamanho]]=$I$4,$L$4,IF(Tabla1[[#This Row],[tamanho]]=$I$5,$L$5,IF(Tabla1[[#This Row],[tamanho]]=$I$6,$L$6,0))))*IF(C457="8_1",9,25))</f>
        <v>4.179146735738946E-7</v>
      </c>
    </row>
    <row r="458" spans="1:6" ht="12.75" x14ac:dyDescent="0.2">
      <c r="A458" s="1">
        <v>19</v>
      </c>
      <c r="B458" s="1">
        <v>1</v>
      </c>
      <c r="C458" s="1" t="s">
        <v>5</v>
      </c>
      <c r="D458" s="1" t="s">
        <v>6</v>
      </c>
      <c r="E458" s="1">
        <v>0.40504384040832497</v>
      </c>
      <c r="F458" s="1">
        <f>Tabla1[[#This Row],[tiempo]]/(IF(Tabla1[[#This Row],[tamanho]]=$I$3,$L$3,IF(Tabla1[[#This Row],[tamanho]]=$I$4,$L$4,IF(Tabla1[[#This Row],[tamanho]]=$I$5,$L$5,IF(Tabla1[[#This Row],[tamanho]]=$I$6,$L$6,0))))*IF(C458="8_1",9,25))</f>
        <v>1.6692582306472517E-6</v>
      </c>
    </row>
    <row r="459" spans="1:6" ht="12.75" x14ac:dyDescent="0.2">
      <c r="A459" s="1">
        <v>19</v>
      </c>
      <c r="B459" s="1">
        <v>1</v>
      </c>
      <c r="C459" s="1" t="s">
        <v>7</v>
      </c>
      <c r="D459" s="1" t="s">
        <v>6</v>
      </c>
      <c r="E459" s="1">
        <v>0.45201134681701599</v>
      </c>
      <c r="F459" s="1">
        <f>Tabla1[[#This Row],[tiempo]]/(IF(Tabla1[[#This Row],[tamanho]]=$I$3,$L$3,IF(Tabla1[[#This Row],[tamanho]]=$I$4,$L$4,IF(Tabla1[[#This Row],[tamanho]]=$I$5,$L$5,IF(Tabla1[[#This Row],[tamanho]]=$I$6,$L$6,0))))*IF(C459="8_1",9,25))</f>
        <v>6.7061510599312489E-7</v>
      </c>
    </row>
    <row r="460" spans="1:6" ht="12.75" x14ac:dyDescent="0.2">
      <c r="A460" s="1">
        <v>19</v>
      </c>
      <c r="B460" s="1">
        <v>1</v>
      </c>
      <c r="C460" s="1" t="s">
        <v>8</v>
      </c>
      <c r="D460" s="1" t="s">
        <v>6</v>
      </c>
      <c r="E460" s="1">
        <v>0.45565152168273898</v>
      </c>
      <c r="F460" s="1">
        <f>Tabla1[[#This Row],[tiempo]]/(IF(Tabla1[[#This Row],[tamanho]]=$I$3,$L$3,IF(Tabla1[[#This Row],[tamanho]]=$I$4,$L$4,IF(Tabla1[[#This Row],[tamanho]]=$I$5,$L$5,IF(Tabla1[[#This Row],[tamanho]]=$I$6,$L$6,0))))*IF(C460="8_1",9,25))</f>
        <v>6.7601575858868584E-7</v>
      </c>
    </row>
    <row r="461" spans="1:6" ht="12.75" x14ac:dyDescent="0.2">
      <c r="A461" s="1">
        <v>19</v>
      </c>
      <c r="B461" s="1">
        <v>1</v>
      </c>
      <c r="C461" s="1" t="s">
        <v>5</v>
      </c>
      <c r="D461" s="1" t="s">
        <v>9</v>
      </c>
      <c r="E461" s="1">
        <v>0.40240478515625</v>
      </c>
      <c r="F461" s="1">
        <f>Tabla1[[#This Row],[tiempo]]/(IF(Tabla1[[#This Row],[tamanho]]=$I$3,$L$3,IF(Tabla1[[#This Row],[tamanho]]=$I$4,$L$4,IF(Tabla1[[#This Row],[tamanho]]=$I$5,$L$5,IF(Tabla1[[#This Row],[tamanho]]=$I$6,$L$6,0))))*IF(C461="8_1",9,25))</f>
        <v>1.6583822111620076E-6</v>
      </c>
    </row>
    <row r="462" spans="1:6" ht="12.75" x14ac:dyDescent="0.2">
      <c r="A462" s="1">
        <v>19</v>
      </c>
      <c r="B462" s="1">
        <v>1</v>
      </c>
      <c r="C462" s="1" t="s">
        <v>7</v>
      </c>
      <c r="D462" s="1" t="s">
        <v>9</v>
      </c>
      <c r="E462" s="1">
        <v>0.450063467025756</v>
      </c>
      <c r="F462" s="1">
        <f>Tabla1[[#This Row],[tiempo]]/(IF(Tabla1[[#This Row],[tamanho]]=$I$3,$L$3,IF(Tabla1[[#This Row],[tamanho]]=$I$4,$L$4,IF(Tabla1[[#This Row],[tamanho]]=$I$5,$L$5,IF(Tabla1[[#This Row],[tamanho]]=$I$6,$L$6,0))))*IF(C462="8_1",9,25))</f>
        <v>6.6772518382219652E-7</v>
      </c>
    </row>
    <row r="463" spans="1:6" ht="12.75" x14ac:dyDescent="0.2">
      <c r="A463" s="1">
        <v>19</v>
      </c>
      <c r="B463" s="1">
        <v>1</v>
      </c>
      <c r="C463" s="1" t="s">
        <v>8</v>
      </c>
      <c r="D463" s="1" t="s">
        <v>9</v>
      </c>
      <c r="E463" s="1">
        <v>0.45627212524414001</v>
      </c>
      <c r="F463" s="1">
        <f>Tabla1[[#This Row],[tiempo]]/(IF(Tabla1[[#This Row],[tamanho]]=$I$3,$L$3,IF(Tabla1[[#This Row],[tamanho]]=$I$4,$L$4,IF(Tabla1[[#This Row],[tamanho]]=$I$5,$L$5,IF(Tabla1[[#This Row],[tamanho]]=$I$6,$L$6,0))))*IF(C463="8_1",9,25))</f>
        <v>6.7693650123384154E-7</v>
      </c>
    </row>
    <row r="464" spans="1:6" ht="12.75" x14ac:dyDescent="0.2">
      <c r="A464" s="1">
        <v>19</v>
      </c>
      <c r="B464" s="1">
        <v>2</v>
      </c>
      <c r="C464" s="1" t="s">
        <v>5</v>
      </c>
      <c r="D464" s="1" t="s">
        <v>6</v>
      </c>
      <c r="E464" s="1">
        <v>1.6579668521881099</v>
      </c>
      <c r="F464" s="1">
        <f>Tabla1[[#This Row],[tiempo]]/(IF(Tabla1[[#This Row],[tamanho]]=$I$3,$L$3,IF(Tabla1[[#This Row],[tamanho]]=$I$4,$L$4,IF(Tabla1[[#This Row],[tamanho]]=$I$5,$L$5,IF(Tabla1[[#This Row],[tamanho]]=$I$6,$L$6,0))))*IF(C464="8_1",9,25))</f>
        <v>1.0037953985462899E-6</v>
      </c>
    </row>
    <row r="465" spans="1:6" ht="12.75" x14ac:dyDescent="0.2">
      <c r="A465" s="1">
        <v>19</v>
      </c>
      <c r="B465" s="1">
        <v>2</v>
      </c>
      <c r="C465" s="1" t="s">
        <v>7</v>
      </c>
      <c r="D465" s="1" t="s">
        <v>6</v>
      </c>
      <c r="E465" s="1">
        <v>1.85106778144836</v>
      </c>
      <c r="F465" s="1">
        <f>Tabla1[[#This Row],[tiempo]]/(IF(Tabla1[[#This Row],[tamanho]]=$I$3,$L$3,IF(Tabla1[[#This Row],[tamanho]]=$I$4,$L$4,IF(Tabla1[[#This Row],[tamanho]]=$I$5,$L$5,IF(Tabla1[[#This Row],[tamanho]]=$I$6,$L$6,0))))*IF(C465="8_1",9,25))</f>
        <v>4.0345414314324388E-7</v>
      </c>
    </row>
    <row r="466" spans="1:6" ht="12.75" x14ac:dyDescent="0.2">
      <c r="A466" s="1">
        <v>19</v>
      </c>
      <c r="B466" s="1">
        <v>2</v>
      </c>
      <c r="C466" s="1" t="s">
        <v>8</v>
      </c>
      <c r="D466" s="1" t="s">
        <v>6</v>
      </c>
      <c r="E466" s="1">
        <v>1.86859154701232</v>
      </c>
      <c r="F466" s="1">
        <f>Tabla1[[#This Row],[tiempo]]/(IF(Tabla1[[#This Row],[tamanho]]=$I$3,$L$3,IF(Tabla1[[#This Row],[tamanho]]=$I$4,$L$4,IF(Tabla1[[#This Row],[tamanho]]=$I$5,$L$5,IF(Tabla1[[#This Row],[tamanho]]=$I$6,$L$6,0))))*IF(C466="8_1",9,25))</f>
        <v>4.0727357962801625E-7</v>
      </c>
    </row>
    <row r="467" spans="1:6" ht="12.75" x14ac:dyDescent="0.2">
      <c r="A467" s="1">
        <v>19</v>
      </c>
      <c r="B467" s="1">
        <v>2</v>
      </c>
      <c r="C467" s="1" t="s">
        <v>5</v>
      </c>
      <c r="D467" s="1" t="s">
        <v>9</v>
      </c>
      <c r="E467" s="1">
        <v>1.6583292484283401</v>
      </c>
      <c r="F467" s="1">
        <f>Tabla1[[#This Row],[tiempo]]/(IF(Tabla1[[#This Row],[tamanho]]=$I$3,$L$3,IF(Tabla1[[#This Row],[tamanho]]=$I$4,$L$4,IF(Tabla1[[#This Row],[tamanho]]=$I$5,$L$5,IF(Tabla1[[#This Row],[tamanho]]=$I$6,$L$6,0))))*IF(C467="8_1",9,25))</f>
        <v>1.0040148068401971E-6</v>
      </c>
    </row>
    <row r="468" spans="1:6" ht="12.75" x14ac:dyDescent="0.2">
      <c r="A468" s="1">
        <v>19</v>
      </c>
      <c r="B468" s="1">
        <v>2</v>
      </c>
      <c r="C468" s="1" t="s">
        <v>7</v>
      </c>
      <c r="D468" s="1" t="s">
        <v>9</v>
      </c>
      <c r="E468" s="1">
        <v>1.8580753803253101</v>
      </c>
      <c r="F468" s="1">
        <f>Tabla1[[#This Row],[tiempo]]/(IF(Tabla1[[#This Row],[tamanho]]=$I$3,$L$3,IF(Tabla1[[#This Row],[tamanho]]=$I$4,$L$4,IF(Tabla1[[#This Row],[tamanho]]=$I$5,$L$5,IF(Tabla1[[#This Row],[tamanho]]=$I$6,$L$6,0))))*IF(C468="8_1",9,25))</f>
        <v>4.0498150201617464E-7</v>
      </c>
    </row>
    <row r="469" spans="1:6" ht="12.75" x14ac:dyDescent="0.2">
      <c r="A469" s="1">
        <v>19</v>
      </c>
      <c r="B469" s="1">
        <v>2</v>
      </c>
      <c r="C469" s="1" t="s">
        <v>8</v>
      </c>
      <c r="D469" s="1" t="s">
        <v>9</v>
      </c>
      <c r="E469" s="1">
        <v>1.8915607929229701</v>
      </c>
      <c r="F469" s="1">
        <f>Tabla1[[#This Row],[tiempo]]/(IF(Tabla1[[#This Row],[tamanho]]=$I$3,$L$3,IF(Tabla1[[#This Row],[tamanho]]=$I$4,$L$4,IF(Tabla1[[#This Row],[tamanho]]=$I$5,$L$5,IF(Tabla1[[#This Row],[tamanho]]=$I$6,$L$6,0))))*IF(C469="8_1",9,25))</f>
        <v>4.1227989950479398E-7</v>
      </c>
    </row>
    <row r="470" spans="1:6" ht="12.75" x14ac:dyDescent="0.2">
      <c r="A470" s="1">
        <v>19</v>
      </c>
      <c r="B470" s="1">
        <v>3</v>
      </c>
      <c r="C470" s="1" t="s">
        <v>5</v>
      </c>
      <c r="D470" s="1" t="s">
        <v>6</v>
      </c>
      <c r="E470" s="1">
        <v>3.7851970195770201</v>
      </c>
      <c r="F470" s="1">
        <f>Tabla1[[#This Row],[tiempo]]/(IF(Tabla1[[#This Row],[tamanho]]=$I$3,$L$3,IF(Tabla1[[#This Row],[tamanho]]=$I$4,$L$4,IF(Tabla1[[#This Row],[tamanho]]=$I$5,$L$5,IF(Tabla1[[#This Row],[tamanho]]=$I$6,$L$6,0))))*IF(C470="8_1",9,25))</f>
        <v>1.0177238800920234E-6</v>
      </c>
    </row>
    <row r="471" spans="1:6" ht="12.75" x14ac:dyDescent="0.2">
      <c r="A471" s="1">
        <v>19</v>
      </c>
      <c r="B471" s="1">
        <v>3</v>
      </c>
      <c r="C471" s="1" t="s">
        <v>7</v>
      </c>
      <c r="D471" s="1" t="s">
        <v>6</v>
      </c>
      <c r="E471" s="1">
        <v>4.2220947742462096</v>
      </c>
      <c r="F471" s="1">
        <f>Tabla1[[#This Row],[tiempo]]/(IF(Tabla1[[#This Row],[tamanho]]=$I$3,$L$3,IF(Tabla1[[#This Row],[tamanho]]=$I$4,$L$4,IF(Tabla1[[#This Row],[tamanho]]=$I$5,$L$5,IF(Tabla1[[#This Row],[tamanho]]=$I$6,$L$6,0))))*IF(C471="8_1",9,25))</f>
        <v>4.0866924370748281E-7</v>
      </c>
    </row>
    <row r="472" spans="1:6" ht="12.75" x14ac:dyDescent="0.2">
      <c r="A472" s="1">
        <v>19</v>
      </c>
      <c r="B472" s="1">
        <v>3</v>
      </c>
      <c r="C472" s="1" t="s">
        <v>8</v>
      </c>
      <c r="D472" s="1" t="s">
        <v>6</v>
      </c>
      <c r="E472" s="1">
        <v>4.25962209701538</v>
      </c>
      <c r="F472" s="1">
        <f>Tabla1[[#This Row],[tiempo]]/(IF(Tabla1[[#This Row],[tamanho]]=$I$3,$L$3,IF(Tabla1[[#This Row],[tamanho]]=$I$4,$L$4,IF(Tabla1[[#This Row],[tamanho]]=$I$5,$L$5,IF(Tabla1[[#This Row],[tamanho]]=$I$6,$L$6,0))))*IF(C472="8_1",9,25))</f>
        <v>4.1230162607558856E-7</v>
      </c>
    </row>
    <row r="473" spans="1:6" ht="12.75" x14ac:dyDescent="0.2">
      <c r="A473" s="1">
        <v>19</v>
      </c>
      <c r="B473" s="1">
        <v>3</v>
      </c>
      <c r="C473" s="1" t="s">
        <v>5</v>
      </c>
      <c r="D473" s="1" t="s">
        <v>9</v>
      </c>
      <c r="E473" s="1">
        <v>3.7957665920257502</v>
      </c>
      <c r="F473" s="1">
        <f>Tabla1[[#This Row],[tiempo]]/(IF(Tabla1[[#This Row],[tamanho]]=$I$3,$L$3,IF(Tabla1[[#This Row],[tamanho]]=$I$4,$L$4,IF(Tabla1[[#This Row],[tamanho]]=$I$5,$L$5,IF(Tabla1[[#This Row],[tamanho]]=$I$6,$L$6,0))))*IF(C473="8_1",9,25))</f>
        <v>1.0205657153327783E-6</v>
      </c>
    </row>
    <row r="474" spans="1:6" ht="12.75" x14ac:dyDescent="0.2">
      <c r="A474" s="1">
        <v>19</v>
      </c>
      <c r="B474" s="1">
        <v>3</v>
      </c>
      <c r="C474" s="1" t="s">
        <v>7</v>
      </c>
      <c r="D474" s="1" t="s">
        <v>9</v>
      </c>
      <c r="E474" s="1">
        <v>4.2376334667205802</v>
      </c>
      <c r="F474" s="1">
        <f>Tabla1[[#This Row],[tiempo]]/(IF(Tabla1[[#This Row],[tamanho]]=$I$3,$L$3,IF(Tabla1[[#This Row],[tamanho]]=$I$4,$L$4,IF(Tabla1[[#This Row],[tamanho]]=$I$5,$L$5,IF(Tabla1[[#This Row],[tamanho]]=$I$6,$L$6,0))))*IF(C474="8_1",9,25))</f>
        <v>4.1017328045730632E-7</v>
      </c>
    </row>
    <row r="475" spans="1:6" ht="12.75" x14ac:dyDescent="0.2">
      <c r="A475" s="1">
        <v>19</v>
      </c>
      <c r="B475" s="1">
        <v>3</v>
      </c>
      <c r="C475" s="1" t="s">
        <v>8</v>
      </c>
      <c r="D475" s="1" t="s">
        <v>9</v>
      </c>
      <c r="E475" s="1">
        <v>4.29229235649108</v>
      </c>
      <c r="F475" s="1">
        <f>Tabla1[[#This Row],[tiempo]]/(IF(Tabla1[[#This Row],[tamanho]]=$I$3,$L$3,IF(Tabla1[[#This Row],[tamanho]]=$I$4,$L$4,IF(Tabla1[[#This Row],[tamanho]]=$I$5,$L$5,IF(Tabla1[[#This Row],[tamanho]]=$I$6,$L$6,0))))*IF(C475="8_1",9,25))</f>
        <v>4.1546387868846253E-7</v>
      </c>
    </row>
    <row r="476" spans="1:6" ht="12.75" x14ac:dyDescent="0.2">
      <c r="A476" s="1">
        <v>19</v>
      </c>
      <c r="B476" s="1">
        <v>4</v>
      </c>
      <c r="C476" s="1" t="s">
        <v>5</v>
      </c>
      <c r="D476" s="1" t="s">
        <v>6</v>
      </c>
      <c r="E476" s="1">
        <v>6.7788677215576101</v>
      </c>
      <c r="F476" s="1">
        <f>Tabla1[[#This Row],[tiempo]]/(IF(Tabla1[[#This Row],[tamanho]]=$I$3,$L$3,IF(Tabla1[[#This Row],[tamanho]]=$I$4,$L$4,IF(Tabla1[[#This Row],[tamanho]]=$I$5,$L$5,IF(Tabla1[[#This Row],[tamanho]]=$I$6,$L$6,0))))*IF(C476="8_1",9,25))</f>
        <v>1.0236537831695607E-6</v>
      </c>
    </row>
    <row r="477" spans="1:6" ht="12.75" x14ac:dyDescent="0.2">
      <c r="A477" s="1">
        <v>19</v>
      </c>
      <c r="B477" s="1">
        <v>4</v>
      </c>
      <c r="C477" s="1" t="s">
        <v>7</v>
      </c>
      <c r="D477" s="1" t="s">
        <v>6</v>
      </c>
      <c r="E477" s="1">
        <v>7.5629591941833496</v>
      </c>
      <c r="F477" s="1">
        <f>Tabla1[[#This Row],[tiempo]]/(IF(Tabla1[[#This Row],[tamanho]]=$I$3,$L$3,IF(Tabla1[[#This Row],[tamanho]]=$I$4,$L$4,IF(Tabla1[[#This Row],[tamanho]]=$I$5,$L$5,IF(Tabla1[[#This Row],[tamanho]]=$I$6,$L$6,0))))*IF(C477="8_1",9,25))</f>
        <v>4.1114043808918147E-7</v>
      </c>
    </row>
    <row r="478" spans="1:6" ht="12.75" x14ac:dyDescent="0.2">
      <c r="A478" s="1">
        <v>19</v>
      </c>
      <c r="B478" s="1">
        <v>4</v>
      </c>
      <c r="C478" s="1" t="s">
        <v>8</v>
      </c>
      <c r="D478" s="1" t="s">
        <v>6</v>
      </c>
      <c r="E478" s="1">
        <v>7.6176991462707502</v>
      </c>
      <c r="F478" s="1">
        <f>Tabla1[[#This Row],[tiempo]]/(IF(Tabla1[[#This Row],[tamanho]]=$I$3,$L$3,IF(Tabla1[[#This Row],[tamanho]]=$I$4,$L$4,IF(Tabla1[[#This Row],[tamanho]]=$I$5,$L$5,IF(Tabla1[[#This Row],[tamanho]]=$I$6,$L$6,0))))*IF(C478="8_1",9,25))</f>
        <v>4.1411623199528949E-7</v>
      </c>
    </row>
    <row r="479" spans="1:6" ht="12.75" x14ac:dyDescent="0.2">
      <c r="A479" s="1">
        <v>19</v>
      </c>
      <c r="B479" s="1">
        <v>4</v>
      </c>
      <c r="C479" s="1" t="s">
        <v>5</v>
      </c>
      <c r="D479" s="1" t="s">
        <v>9</v>
      </c>
      <c r="E479" s="1">
        <v>6.7806107997894198</v>
      </c>
      <c r="F479" s="1">
        <f>Tabla1[[#This Row],[tiempo]]/(IF(Tabla1[[#This Row],[tamanho]]=$I$3,$L$3,IF(Tabla1[[#This Row],[tamanho]]=$I$4,$L$4,IF(Tabla1[[#This Row],[tamanho]]=$I$5,$L$5,IF(Tabla1[[#This Row],[tamanho]]=$I$6,$L$6,0))))*IF(C479="8_1",9,25))</f>
        <v>1.0239169994911711E-6</v>
      </c>
    </row>
    <row r="480" spans="1:6" ht="12.75" x14ac:dyDescent="0.2">
      <c r="A480" s="1">
        <v>19</v>
      </c>
      <c r="B480" s="1">
        <v>4</v>
      </c>
      <c r="C480" s="1" t="s">
        <v>7</v>
      </c>
      <c r="D480" s="1" t="s">
        <v>9</v>
      </c>
      <c r="E480" s="1">
        <v>7.7160680294036803</v>
      </c>
      <c r="F480" s="1">
        <f>Tabla1[[#This Row],[tiempo]]/(IF(Tabla1[[#This Row],[tamanho]]=$I$3,$L$3,IF(Tabla1[[#This Row],[tamanho]]=$I$4,$L$4,IF(Tabla1[[#This Row],[tamanho]]=$I$5,$L$5,IF(Tabla1[[#This Row],[tamanho]]=$I$6,$L$6,0))))*IF(C480="8_1",9,25))</f>
        <v>4.1946379829403688E-7</v>
      </c>
    </row>
    <row r="481" spans="1:6" ht="12.75" x14ac:dyDescent="0.2">
      <c r="A481" s="1">
        <v>19</v>
      </c>
      <c r="B481" s="1">
        <v>4</v>
      </c>
      <c r="C481" s="1" t="s">
        <v>8</v>
      </c>
      <c r="D481" s="1" t="s">
        <v>9</v>
      </c>
      <c r="E481" s="1">
        <v>7.7038512229919398</v>
      </c>
      <c r="F481" s="1">
        <f>Tabla1[[#This Row],[tiempo]]/(IF(Tabla1[[#This Row],[tamanho]]=$I$3,$L$3,IF(Tabla1[[#This Row],[tamanho]]=$I$4,$L$4,IF(Tabla1[[#This Row],[tamanho]]=$I$5,$L$5,IF(Tabla1[[#This Row],[tamanho]]=$I$6,$L$6,0))))*IF(C481="8_1",9,25))</f>
        <v>4.1879966365953602E-7</v>
      </c>
    </row>
    <row r="482" spans="1:6" ht="12.75" x14ac:dyDescent="0.2">
      <c r="A482" s="1">
        <v>20</v>
      </c>
      <c r="B482" s="1">
        <v>1</v>
      </c>
      <c r="C482" s="1" t="s">
        <v>5</v>
      </c>
      <c r="D482" s="1" t="s">
        <v>6</v>
      </c>
      <c r="E482" s="1">
        <v>0.40595531463623002</v>
      </c>
      <c r="F482" s="1">
        <f>Tabla1[[#This Row],[tiempo]]/(IF(Tabla1[[#This Row],[tamanho]]=$I$3,$L$3,IF(Tabla1[[#This Row],[tamanho]]=$I$4,$L$4,IF(Tabla1[[#This Row],[tamanho]]=$I$5,$L$5,IF(Tabla1[[#This Row],[tamanho]]=$I$6,$L$6,0))))*IF(C482="8_1",9,25))</f>
        <v>1.6730145792326778E-6</v>
      </c>
    </row>
    <row r="483" spans="1:6" ht="12.75" x14ac:dyDescent="0.2">
      <c r="A483" s="1">
        <v>20</v>
      </c>
      <c r="B483" s="1">
        <v>1</v>
      </c>
      <c r="C483" s="1" t="s">
        <v>7</v>
      </c>
      <c r="D483" s="1" t="s">
        <v>6</v>
      </c>
      <c r="E483" s="1">
        <v>0.455559492111206</v>
      </c>
      <c r="F483" s="1">
        <f>Tabla1[[#This Row],[tiempo]]/(IF(Tabla1[[#This Row],[tamanho]]=$I$3,$L$3,IF(Tabla1[[#This Row],[tamanho]]=$I$4,$L$4,IF(Tabla1[[#This Row],[tamanho]]=$I$5,$L$5,IF(Tabla1[[#This Row],[tamanho]]=$I$6,$L$6,0))))*IF(C483="8_1",9,25))</f>
        <v>6.7587922126212829E-7</v>
      </c>
    </row>
    <row r="484" spans="1:6" ht="12.75" x14ac:dyDescent="0.2">
      <c r="A484" s="1">
        <v>20</v>
      </c>
      <c r="B484" s="1">
        <v>1</v>
      </c>
      <c r="C484" s="1" t="s">
        <v>8</v>
      </c>
      <c r="D484" s="1" t="s">
        <v>6</v>
      </c>
      <c r="E484" s="1">
        <v>0.45707082748413003</v>
      </c>
      <c r="F484" s="1">
        <f>Tabla1[[#This Row],[tiempo]]/(IF(Tabla1[[#This Row],[tamanho]]=$I$3,$L$3,IF(Tabla1[[#This Row],[tamanho]]=$I$4,$L$4,IF(Tabla1[[#This Row],[tamanho]]=$I$5,$L$5,IF(Tabla1[[#This Row],[tamanho]]=$I$6,$L$6,0))))*IF(C484="8_1",9,25))</f>
        <v>6.7812147544101479E-7</v>
      </c>
    </row>
    <row r="485" spans="1:6" ht="12.75" x14ac:dyDescent="0.2">
      <c r="A485" s="1">
        <v>20</v>
      </c>
      <c r="B485" s="1">
        <v>1</v>
      </c>
      <c r="C485" s="1" t="s">
        <v>5</v>
      </c>
      <c r="D485" s="1" t="s">
        <v>9</v>
      </c>
      <c r="E485" s="1">
        <v>0.40480065345764099</v>
      </c>
      <c r="F485" s="1">
        <f>Tabla1[[#This Row],[tiempo]]/(IF(Tabla1[[#This Row],[tamanho]]=$I$3,$L$3,IF(Tabla1[[#This Row],[tamanho]]=$I$4,$L$4,IF(Tabla1[[#This Row],[tamanho]]=$I$5,$L$5,IF(Tabla1[[#This Row],[tamanho]]=$I$6,$L$6,0))))*IF(C485="8_1",9,25))</f>
        <v>1.6682560136561081E-6</v>
      </c>
    </row>
    <row r="486" spans="1:6" ht="12.75" x14ac:dyDescent="0.2">
      <c r="A486" s="1">
        <v>20</v>
      </c>
      <c r="B486" s="1">
        <v>1</v>
      </c>
      <c r="C486" s="1" t="s">
        <v>7</v>
      </c>
      <c r="D486" s="1" t="s">
        <v>9</v>
      </c>
      <c r="E486" s="1">
        <v>0.45211195945739702</v>
      </c>
      <c r="F486" s="1">
        <f>Tabla1[[#This Row],[tiempo]]/(IF(Tabla1[[#This Row],[tamanho]]=$I$3,$L$3,IF(Tabla1[[#This Row],[tamanho]]=$I$4,$L$4,IF(Tabla1[[#This Row],[tamanho]]=$I$5,$L$5,IF(Tabla1[[#This Row],[tamanho]]=$I$6,$L$6,0))))*IF(C486="8_1",9,25))</f>
        <v>6.7076437737086464E-7</v>
      </c>
    </row>
    <row r="487" spans="1:6" ht="12.75" x14ac:dyDescent="0.2">
      <c r="A487" s="1">
        <v>20</v>
      </c>
      <c r="B487" s="1">
        <v>1</v>
      </c>
      <c r="C487" s="1" t="s">
        <v>8</v>
      </c>
      <c r="D487" s="1" t="s">
        <v>9</v>
      </c>
      <c r="E487" s="1">
        <v>0.46072459220886203</v>
      </c>
      <c r="F487" s="1">
        <f>Tabla1[[#This Row],[tiempo]]/(IF(Tabla1[[#This Row],[tamanho]]=$I$3,$L$3,IF(Tabla1[[#This Row],[tamanho]]=$I$4,$L$4,IF(Tabla1[[#This Row],[tamanho]]=$I$5,$L$5,IF(Tabla1[[#This Row],[tamanho]]=$I$6,$L$6,0))))*IF(C487="8_1",9,25))</f>
        <v>6.8354229028428034E-7</v>
      </c>
    </row>
    <row r="488" spans="1:6" ht="12.75" x14ac:dyDescent="0.2">
      <c r="A488" s="1">
        <v>20</v>
      </c>
      <c r="B488" s="1">
        <v>2</v>
      </c>
      <c r="C488" s="1" t="s">
        <v>5</v>
      </c>
      <c r="D488" s="1" t="s">
        <v>6</v>
      </c>
      <c r="E488" s="1">
        <v>1.6602971553802399</v>
      </c>
      <c r="F488" s="1">
        <f>Tabla1[[#This Row],[tiempo]]/(IF(Tabla1[[#This Row],[tamanho]]=$I$3,$L$3,IF(Tabla1[[#This Row],[tamanho]]=$I$4,$L$4,IF(Tabla1[[#This Row],[tamanho]]=$I$5,$L$5,IF(Tabla1[[#This Row],[tamanho]]=$I$6,$L$6,0))))*IF(C488="8_1",9,25))</f>
        <v>1.0052062516151499E-6</v>
      </c>
    </row>
    <row r="489" spans="1:6" ht="12.75" x14ac:dyDescent="0.2">
      <c r="A489" s="1">
        <v>20</v>
      </c>
      <c r="B489" s="1">
        <v>2</v>
      </c>
      <c r="C489" s="1" t="s">
        <v>7</v>
      </c>
      <c r="D489" s="1" t="s">
        <v>6</v>
      </c>
      <c r="E489" s="1">
        <v>1.8606998920440601</v>
      </c>
      <c r="F489" s="1">
        <f>Tabla1[[#This Row],[tiempo]]/(IF(Tabla1[[#This Row],[tamanho]]=$I$3,$L$3,IF(Tabla1[[#This Row],[tamanho]]=$I$4,$L$4,IF(Tabla1[[#This Row],[tamanho]]=$I$5,$L$5,IF(Tabla1[[#This Row],[tamanho]]=$I$6,$L$6,0))))*IF(C489="8_1",9,25))</f>
        <v>4.0555353408181257E-7</v>
      </c>
    </row>
    <row r="490" spans="1:6" ht="12.75" x14ac:dyDescent="0.2">
      <c r="A490" s="1">
        <v>20</v>
      </c>
      <c r="B490" s="1">
        <v>2</v>
      </c>
      <c r="C490" s="1" t="s">
        <v>8</v>
      </c>
      <c r="D490" s="1" t="s">
        <v>6</v>
      </c>
      <c r="E490" s="1">
        <v>1.8805191516876201</v>
      </c>
      <c r="F490" s="1">
        <f>Tabla1[[#This Row],[tiempo]]/(IF(Tabla1[[#This Row],[tamanho]]=$I$3,$L$3,IF(Tabla1[[#This Row],[tamanho]]=$I$4,$L$4,IF(Tabla1[[#This Row],[tamanho]]=$I$5,$L$5,IF(Tabla1[[#This Row],[tamanho]]=$I$6,$L$6,0))))*IF(C490="8_1",9,25))</f>
        <v>4.0987329076353135E-7</v>
      </c>
    </row>
    <row r="491" spans="1:6" ht="12.75" x14ac:dyDescent="0.2">
      <c r="A491" s="1">
        <v>20</v>
      </c>
      <c r="B491" s="1">
        <v>2</v>
      </c>
      <c r="C491" s="1" t="s">
        <v>5</v>
      </c>
      <c r="D491" s="1" t="s">
        <v>9</v>
      </c>
      <c r="E491" s="1">
        <v>1.67593193054199</v>
      </c>
      <c r="F491" s="1">
        <f>Tabla1[[#This Row],[tiempo]]/(IF(Tabla1[[#This Row],[tamanho]]=$I$3,$L$3,IF(Tabla1[[#This Row],[tamanho]]=$I$4,$L$4,IF(Tabla1[[#This Row],[tamanho]]=$I$5,$L$5,IF(Tabla1[[#This Row],[tamanho]]=$I$6,$L$6,0))))*IF(C491="8_1",9,25))</f>
        <v>1.0146721316741862E-6</v>
      </c>
    </row>
    <row r="492" spans="1:6" ht="12.75" x14ac:dyDescent="0.2">
      <c r="A492" s="1">
        <v>20</v>
      </c>
      <c r="B492" s="1">
        <v>2</v>
      </c>
      <c r="C492" s="1" t="s">
        <v>7</v>
      </c>
      <c r="D492" s="1" t="s">
        <v>9</v>
      </c>
      <c r="E492" s="1">
        <v>1.86393070220947</v>
      </c>
      <c r="F492" s="1">
        <f>Tabla1[[#This Row],[tiempo]]/(IF(Tabla1[[#This Row],[tamanho]]=$I$3,$L$3,IF(Tabla1[[#This Row],[tamanho]]=$I$4,$L$4,IF(Tabla1[[#This Row],[tamanho]]=$I$5,$L$5,IF(Tabla1[[#This Row],[tamanho]]=$I$6,$L$6,0))))*IF(C492="8_1",9,25))</f>
        <v>4.0625771345331239E-7</v>
      </c>
    </row>
    <row r="493" spans="1:6" ht="12.75" x14ac:dyDescent="0.2">
      <c r="A493" s="1">
        <v>20</v>
      </c>
      <c r="B493" s="1">
        <v>2</v>
      </c>
      <c r="C493" s="1" t="s">
        <v>8</v>
      </c>
      <c r="D493" s="1" t="s">
        <v>9</v>
      </c>
      <c r="E493" s="1">
        <v>1.8863224983215301</v>
      </c>
      <c r="F493" s="1">
        <f>Tabla1[[#This Row],[tiempo]]/(IF(Tabla1[[#This Row],[tamanho]]=$I$3,$L$3,IF(Tabla1[[#This Row],[tamanho]]=$I$4,$L$4,IF(Tabla1[[#This Row],[tamanho]]=$I$5,$L$5,IF(Tabla1[[#This Row],[tamanho]]=$I$6,$L$6,0))))*IF(C493="8_1",9,25))</f>
        <v>4.1113817380401914E-7</v>
      </c>
    </row>
    <row r="494" spans="1:6" ht="12.75" x14ac:dyDescent="0.2">
      <c r="A494" s="1">
        <v>20</v>
      </c>
      <c r="B494" s="1">
        <v>3</v>
      </c>
      <c r="C494" s="1" t="s">
        <v>5</v>
      </c>
      <c r="D494" s="1" t="s">
        <v>6</v>
      </c>
      <c r="E494" s="1">
        <v>3.7589337825775102</v>
      </c>
      <c r="F494" s="1">
        <f>Tabla1[[#This Row],[tiempo]]/(IF(Tabla1[[#This Row],[tamanho]]=$I$3,$L$3,IF(Tabla1[[#This Row],[tamanho]]=$I$4,$L$4,IF(Tabla1[[#This Row],[tamanho]]=$I$5,$L$5,IF(Tabla1[[#This Row],[tamanho]]=$I$6,$L$6,0))))*IF(C494="8_1",9,25))</f>
        <v>1.0106624977320888E-6</v>
      </c>
    </row>
    <row r="495" spans="1:6" ht="12.75" x14ac:dyDescent="0.2">
      <c r="A495" s="1">
        <v>20</v>
      </c>
      <c r="B495" s="1">
        <v>3</v>
      </c>
      <c r="C495" s="1" t="s">
        <v>7</v>
      </c>
      <c r="D495" s="1" t="s">
        <v>6</v>
      </c>
      <c r="E495" s="1">
        <v>4.2046782970428396</v>
      </c>
      <c r="F495" s="1">
        <f>Tabla1[[#This Row],[tiempo]]/(IF(Tabla1[[#This Row],[tamanho]]=$I$3,$L$3,IF(Tabla1[[#This Row],[tamanho]]=$I$4,$L$4,IF(Tabla1[[#This Row],[tamanho]]=$I$5,$L$5,IF(Tabla1[[#This Row],[tamanho]]=$I$6,$L$6,0))))*IF(C495="8_1",9,25))</f>
        <v>4.0698345052961162E-7</v>
      </c>
    </row>
    <row r="496" spans="1:6" ht="12.75" x14ac:dyDescent="0.2">
      <c r="A496" s="1">
        <v>20</v>
      </c>
      <c r="B496" s="1">
        <v>3</v>
      </c>
      <c r="C496" s="1" t="s">
        <v>8</v>
      </c>
      <c r="D496" s="1" t="s">
        <v>6</v>
      </c>
      <c r="E496" s="1">
        <v>4.25483870506286</v>
      </c>
      <c r="F496" s="1">
        <f>Tabla1[[#This Row],[tiempo]]/(IF(Tabla1[[#This Row],[tamanho]]=$I$3,$L$3,IF(Tabla1[[#This Row],[tamanho]]=$I$4,$L$4,IF(Tabla1[[#This Row],[tamanho]]=$I$5,$L$5,IF(Tabla1[[#This Row],[tamanho]]=$I$6,$L$6,0))))*IF(C496="8_1",9,25))</f>
        <v>4.1183862719088402E-7</v>
      </c>
    </row>
    <row r="497" spans="1:6" ht="12.75" x14ac:dyDescent="0.2">
      <c r="A497" s="1">
        <v>20</v>
      </c>
      <c r="B497" s="1">
        <v>3</v>
      </c>
      <c r="C497" s="1" t="s">
        <v>5</v>
      </c>
      <c r="D497" s="1" t="s">
        <v>9</v>
      </c>
      <c r="E497" s="1">
        <v>3.8365404605865399</v>
      </c>
      <c r="F497" s="1">
        <f>Tabla1[[#This Row],[tiempo]]/(IF(Tabla1[[#This Row],[tamanho]]=$I$3,$L$3,IF(Tabla1[[#This Row],[tamanho]]=$I$4,$L$4,IF(Tabla1[[#This Row],[tamanho]]=$I$5,$L$5,IF(Tabla1[[#This Row],[tamanho]]=$I$6,$L$6,0))))*IF(C497="8_1",9,25))</f>
        <v>1.0315285633703916E-6</v>
      </c>
    </row>
    <row r="498" spans="1:6" ht="12.75" x14ac:dyDescent="0.2">
      <c r="A498" s="1">
        <v>20</v>
      </c>
      <c r="B498" s="1">
        <v>3</v>
      </c>
      <c r="C498" s="1" t="s">
        <v>7</v>
      </c>
      <c r="D498" s="1" t="s">
        <v>9</v>
      </c>
      <c r="E498" s="1">
        <v>4.3912677764892498</v>
      </c>
      <c r="F498" s="1">
        <f>Tabla1[[#This Row],[tiempo]]/(IF(Tabla1[[#This Row],[tamanho]]=$I$3,$L$3,IF(Tabla1[[#This Row],[tamanho]]=$I$4,$L$4,IF(Tabla1[[#This Row],[tamanho]]=$I$5,$L$5,IF(Tabla1[[#This Row],[tamanho]]=$I$6,$L$6,0))))*IF(C498="8_1",9,25))</f>
        <v>4.2504400708420749E-7</v>
      </c>
    </row>
    <row r="499" spans="1:6" ht="12.75" x14ac:dyDescent="0.2">
      <c r="A499" s="1">
        <v>20</v>
      </c>
      <c r="B499" s="1">
        <v>3</v>
      </c>
      <c r="C499" s="1" t="s">
        <v>8</v>
      </c>
      <c r="D499" s="1" t="s">
        <v>9</v>
      </c>
      <c r="E499" s="1">
        <v>4.2987706661224303</v>
      </c>
      <c r="F499" s="1">
        <f>Tabla1[[#This Row],[tiempo]]/(IF(Tabla1[[#This Row],[tamanho]]=$I$3,$L$3,IF(Tabla1[[#This Row],[tamanho]]=$I$4,$L$4,IF(Tabla1[[#This Row],[tamanho]]=$I$5,$L$5,IF(Tabla1[[#This Row],[tamanho]]=$I$6,$L$6,0))))*IF(C499="8_1",9,25))</f>
        <v>4.1609093374977849E-7</v>
      </c>
    </row>
    <row r="500" spans="1:6" ht="12.75" x14ac:dyDescent="0.2">
      <c r="A500" s="1">
        <v>20</v>
      </c>
      <c r="B500" s="1">
        <v>4</v>
      </c>
      <c r="C500" s="1" t="s">
        <v>5</v>
      </c>
      <c r="D500" s="1" t="s">
        <v>6</v>
      </c>
      <c r="E500" s="1">
        <v>6.8266217708587602</v>
      </c>
      <c r="F500" s="1">
        <f>Tabla1[[#This Row],[tiempo]]/(IF(Tabla1[[#This Row],[tamanho]]=$I$3,$L$3,IF(Tabla1[[#This Row],[tamanho]]=$I$4,$L$4,IF(Tabla1[[#This Row],[tamanho]]=$I$5,$L$5,IF(Tabla1[[#This Row],[tamanho]]=$I$6,$L$6,0))))*IF(C500="8_1",9,25))</f>
        <v>1.0308649599083149E-6</v>
      </c>
    </row>
    <row r="501" spans="1:6" ht="12.75" x14ac:dyDescent="0.2">
      <c r="A501" s="1">
        <v>20</v>
      </c>
      <c r="B501" s="1">
        <v>4</v>
      </c>
      <c r="C501" s="1" t="s">
        <v>7</v>
      </c>
      <c r="D501" s="1" t="s">
        <v>6</v>
      </c>
      <c r="E501" s="1">
        <v>7.6384022235870299</v>
      </c>
      <c r="F501" s="1">
        <f>Tabla1[[#This Row],[tiempo]]/(IF(Tabla1[[#This Row],[tamanho]]=$I$3,$L$3,IF(Tabla1[[#This Row],[tamanho]]=$I$4,$L$4,IF(Tabla1[[#This Row],[tamanho]]=$I$5,$L$5,IF(Tabla1[[#This Row],[tamanho]]=$I$6,$L$6,0))))*IF(C501="8_1",9,25))</f>
        <v>4.1524170048706134E-7</v>
      </c>
    </row>
    <row r="502" spans="1:6" ht="12.75" x14ac:dyDescent="0.2">
      <c r="A502" s="1">
        <v>20</v>
      </c>
      <c r="B502" s="1">
        <v>4</v>
      </c>
      <c r="C502" s="1" t="s">
        <v>8</v>
      </c>
      <c r="D502" s="1" t="s">
        <v>6</v>
      </c>
      <c r="E502" s="1">
        <v>7.6490967273712096</v>
      </c>
      <c r="F502" s="1">
        <f>Tabla1[[#This Row],[tiempo]]/(IF(Tabla1[[#This Row],[tamanho]]=$I$3,$L$3,IF(Tabla1[[#This Row],[tamanho]]=$I$4,$L$4,IF(Tabla1[[#This Row],[tamanho]]=$I$5,$L$5,IF(Tabla1[[#This Row],[tamanho]]=$I$6,$L$6,0))))*IF(C502="8_1",9,25))</f>
        <v>4.1582307913238783E-7</v>
      </c>
    </row>
    <row r="503" spans="1:6" ht="12.75" x14ac:dyDescent="0.2">
      <c r="A503" s="1">
        <v>20</v>
      </c>
      <c r="B503" s="1">
        <v>4</v>
      </c>
      <c r="C503" s="1" t="s">
        <v>5</v>
      </c>
      <c r="D503" s="1" t="s">
        <v>9</v>
      </c>
      <c r="E503" s="1">
        <v>6.8892030715942303</v>
      </c>
      <c r="F503" s="1">
        <f>Tabla1[[#This Row],[tiempo]]/(IF(Tabla1[[#This Row],[tamanho]]=$I$3,$L$3,IF(Tabla1[[#This Row],[tamanho]]=$I$4,$L$4,IF(Tabla1[[#This Row],[tamanho]]=$I$5,$L$5,IF(Tabla1[[#This Row],[tamanho]]=$I$6,$L$6,0))))*IF(C503="8_1",9,25))</f>
        <v>1.0403151495100108E-6</v>
      </c>
    </row>
    <row r="504" spans="1:6" ht="12.75" x14ac:dyDescent="0.2">
      <c r="A504" s="1">
        <v>20</v>
      </c>
      <c r="B504" s="1">
        <v>4</v>
      </c>
      <c r="C504" s="1" t="s">
        <v>7</v>
      </c>
      <c r="D504" s="1" t="s">
        <v>9</v>
      </c>
      <c r="E504" s="1">
        <v>7.6763789653777996</v>
      </c>
      <c r="F504" s="1">
        <f>Tabla1[[#This Row],[tiempo]]/(IF(Tabla1[[#This Row],[tamanho]]=$I$3,$L$3,IF(Tabla1[[#This Row],[tamanho]]=$I$4,$L$4,IF(Tabla1[[#This Row],[tamanho]]=$I$5,$L$5,IF(Tabla1[[#This Row],[tamanho]]=$I$6,$L$6,0))))*IF(C504="8_1",9,25))</f>
        <v>4.1730620643720121E-7</v>
      </c>
    </row>
    <row r="505" spans="1:6" ht="12.75" x14ac:dyDescent="0.2">
      <c r="A505" s="1">
        <v>20</v>
      </c>
      <c r="B505" s="1">
        <v>4</v>
      </c>
      <c r="C505" s="1" t="s">
        <v>8</v>
      </c>
      <c r="D505" s="1" t="s">
        <v>9</v>
      </c>
      <c r="E505" s="1">
        <v>7.7018983364105198</v>
      </c>
      <c r="F505" s="1">
        <f>Tabla1[[#This Row],[tiempo]]/(IF(Tabla1[[#This Row],[tamanho]]=$I$3,$L$3,IF(Tabla1[[#This Row],[tamanho]]=$I$4,$L$4,IF(Tabla1[[#This Row],[tamanho]]=$I$5,$L$5,IF(Tabla1[[#This Row],[tamanho]]=$I$6,$L$6,0))))*IF(C505="8_1",9,25))</f>
        <v>4.1869350010318088E-7</v>
      </c>
    </row>
    <row r="506" spans="1:6" ht="12.75" x14ac:dyDescent="0.2">
      <c r="A506" s="1">
        <v>21</v>
      </c>
      <c r="B506" s="1">
        <v>1</v>
      </c>
      <c r="C506" s="1" t="s">
        <v>5</v>
      </c>
      <c r="D506" s="1" t="s">
        <v>6</v>
      </c>
      <c r="E506" s="1">
        <v>0.40786242485046298</v>
      </c>
      <c r="F506" s="1">
        <f>Tabla1[[#This Row],[tiempo]]/(IF(Tabla1[[#This Row],[tamanho]]=$I$3,$L$3,IF(Tabla1[[#This Row],[tamanho]]=$I$4,$L$4,IF(Tabla1[[#This Row],[tamanho]]=$I$5,$L$5,IF(Tabla1[[#This Row],[tamanho]]=$I$6,$L$6,0))))*IF(C506="8_1",9,25))</f>
        <v>1.6808741220877192E-6</v>
      </c>
    </row>
    <row r="507" spans="1:6" ht="12.75" x14ac:dyDescent="0.2">
      <c r="A507" s="1">
        <v>21</v>
      </c>
      <c r="B507" s="1">
        <v>1</v>
      </c>
      <c r="C507" s="1" t="s">
        <v>7</v>
      </c>
      <c r="D507" s="1" t="s">
        <v>6</v>
      </c>
      <c r="E507" s="1">
        <v>0.45267510414123502</v>
      </c>
      <c r="F507" s="1">
        <f>Tabla1[[#This Row],[tiempo]]/(IF(Tabla1[[#This Row],[tamanho]]=$I$3,$L$3,IF(Tabla1[[#This Row],[tamanho]]=$I$4,$L$4,IF(Tabla1[[#This Row],[tamanho]]=$I$5,$L$5,IF(Tabla1[[#This Row],[tamanho]]=$I$6,$L$6,0))))*IF(C507="8_1",9,25))</f>
        <v>6.7159987261783315E-7</v>
      </c>
    </row>
    <row r="508" spans="1:6" ht="12.75" x14ac:dyDescent="0.2">
      <c r="A508" s="1">
        <v>21</v>
      </c>
      <c r="B508" s="1">
        <v>1</v>
      </c>
      <c r="C508" s="1" t="s">
        <v>8</v>
      </c>
      <c r="D508" s="1" t="s">
        <v>6</v>
      </c>
      <c r="E508" s="1">
        <v>0.45308184623718201</v>
      </c>
      <c r="F508" s="1">
        <f>Tabla1[[#This Row],[tiempo]]/(IF(Tabla1[[#This Row],[tamanho]]=$I$3,$L$3,IF(Tabla1[[#This Row],[tamanho]]=$I$4,$L$4,IF(Tabla1[[#This Row],[tamanho]]=$I$5,$L$5,IF(Tabla1[[#This Row],[tamanho]]=$I$6,$L$6,0))))*IF(C508="8_1",9,25))</f>
        <v>6.7220332515438148E-7</v>
      </c>
    </row>
    <row r="509" spans="1:6" ht="12.75" x14ac:dyDescent="0.2">
      <c r="A509" s="1">
        <v>21</v>
      </c>
      <c r="B509" s="1">
        <v>1</v>
      </c>
      <c r="C509" s="1" t="s">
        <v>5</v>
      </c>
      <c r="D509" s="1" t="s">
        <v>9</v>
      </c>
      <c r="E509" s="1">
        <v>0.40704083442687899</v>
      </c>
      <c r="F509" s="1">
        <f>Tabla1[[#This Row],[tiempo]]/(IF(Tabla1[[#This Row],[tamanho]]=$I$3,$L$3,IF(Tabla1[[#This Row],[tamanho]]=$I$4,$L$4,IF(Tabla1[[#This Row],[tamanho]]=$I$5,$L$5,IF(Tabla1[[#This Row],[tamanho]]=$I$6,$L$6,0))))*IF(C509="8_1",9,25))</f>
        <v>1.6774882007627436E-6</v>
      </c>
    </row>
    <row r="510" spans="1:6" ht="12.75" x14ac:dyDescent="0.2">
      <c r="A510" s="1">
        <v>21</v>
      </c>
      <c r="B510" s="1">
        <v>1</v>
      </c>
      <c r="C510" s="1" t="s">
        <v>7</v>
      </c>
      <c r="D510" s="1" t="s">
        <v>9</v>
      </c>
      <c r="E510" s="1">
        <v>0.45463490486144997</v>
      </c>
      <c r="F510" s="1">
        <f>Tabla1[[#This Row],[tiempo]]/(IF(Tabla1[[#This Row],[tamanho]]=$I$3,$L$3,IF(Tabla1[[#This Row],[tamanho]]=$I$4,$L$4,IF(Tabla1[[#This Row],[tamanho]]=$I$5,$L$5,IF(Tabla1[[#This Row],[tamanho]]=$I$6,$L$6,0))))*IF(C510="8_1",9,25))</f>
        <v>6.7450748097095798E-7</v>
      </c>
    </row>
    <row r="511" spans="1:6" ht="12.75" x14ac:dyDescent="0.2">
      <c r="A511" s="1">
        <v>21</v>
      </c>
      <c r="B511" s="1">
        <v>1</v>
      </c>
      <c r="C511" s="1" t="s">
        <v>8</v>
      </c>
      <c r="D511" s="1" t="s">
        <v>9</v>
      </c>
      <c r="E511" s="1">
        <v>0.46251153945922802</v>
      </c>
      <c r="F511" s="1">
        <f>Tabla1[[#This Row],[tiempo]]/(IF(Tabla1[[#This Row],[tamanho]]=$I$3,$L$3,IF(Tabla1[[#This Row],[tamanho]]=$I$4,$L$4,IF(Tabla1[[#This Row],[tamanho]]=$I$5,$L$5,IF(Tabla1[[#This Row],[tamanho]]=$I$6,$L$6,0))))*IF(C511="8_1",9,25))</f>
        <v>6.8619344899555355E-7</v>
      </c>
    </row>
    <row r="512" spans="1:6" ht="12.75" x14ac:dyDescent="0.2">
      <c r="A512" s="1">
        <v>21</v>
      </c>
      <c r="B512" s="1">
        <v>2</v>
      </c>
      <c r="C512" s="1" t="s">
        <v>5</v>
      </c>
      <c r="D512" s="1" t="s">
        <v>6</v>
      </c>
      <c r="E512" s="1">
        <v>1.6661081314086901</v>
      </c>
      <c r="F512" s="1">
        <f>Tabla1[[#This Row],[tiempo]]/(IF(Tabla1[[#This Row],[tamanho]]=$I$3,$L$3,IF(Tabla1[[#This Row],[tamanho]]=$I$4,$L$4,IF(Tabla1[[#This Row],[tamanho]]=$I$5,$L$5,IF(Tabla1[[#This Row],[tamanho]]=$I$6,$L$6,0))))*IF(C512="8_1",9,25))</f>
        <v>1.0087244347384872E-6</v>
      </c>
    </row>
    <row r="513" spans="1:6" ht="12.75" x14ac:dyDescent="0.2">
      <c r="A513" s="1">
        <v>21</v>
      </c>
      <c r="B513" s="1">
        <v>2</v>
      </c>
      <c r="C513" s="1" t="s">
        <v>7</v>
      </c>
      <c r="D513" s="1" t="s">
        <v>6</v>
      </c>
      <c r="E513" s="1">
        <v>1.8677446842193599</v>
      </c>
      <c r="F513" s="1">
        <f>Tabla1[[#This Row],[tiempo]]/(IF(Tabla1[[#This Row],[tamanho]]=$I$3,$L$3,IF(Tabla1[[#This Row],[tamanho]]=$I$4,$L$4,IF(Tabla1[[#This Row],[tamanho]]=$I$5,$L$5,IF(Tabla1[[#This Row],[tamanho]]=$I$6,$L$6,0))))*IF(C513="8_1",9,25))</f>
        <v>4.0708899951381521E-7</v>
      </c>
    </row>
    <row r="514" spans="1:6" ht="12.75" x14ac:dyDescent="0.2">
      <c r="A514" s="1">
        <v>21</v>
      </c>
      <c r="B514" s="1">
        <v>2</v>
      </c>
      <c r="C514" s="1" t="s">
        <v>8</v>
      </c>
      <c r="D514" s="1" t="s">
        <v>6</v>
      </c>
      <c r="E514" s="1">
        <v>1.8760352134704501</v>
      </c>
      <c r="F514" s="1">
        <f>Tabla1[[#This Row],[tiempo]]/(IF(Tabla1[[#This Row],[tamanho]]=$I$3,$L$3,IF(Tabla1[[#This Row],[tamanho]]=$I$4,$L$4,IF(Tabla1[[#This Row],[tamanho]]=$I$5,$L$5,IF(Tabla1[[#This Row],[tamanho]]=$I$6,$L$6,0))))*IF(C514="8_1",9,25))</f>
        <v>4.0889598270952805E-7</v>
      </c>
    </row>
    <row r="515" spans="1:6" ht="12.75" x14ac:dyDescent="0.2">
      <c r="A515" s="1">
        <v>21</v>
      </c>
      <c r="B515" s="1">
        <v>2</v>
      </c>
      <c r="C515" s="1" t="s">
        <v>5</v>
      </c>
      <c r="D515" s="1" t="s">
        <v>9</v>
      </c>
      <c r="E515" s="1">
        <v>1.6666276454925499</v>
      </c>
      <c r="F515" s="1">
        <f>Tabla1[[#This Row],[tiempo]]/(IF(Tabla1[[#This Row],[tamanho]]=$I$3,$L$3,IF(Tabla1[[#This Row],[tamanho]]=$I$4,$L$4,IF(Tabla1[[#This Row],[tamanho]]=$I$5,$L$5,IF(Tabla1[[#This Row],[tamanho]]=$I$6,$L$6,0))))*IF(C515="8_1",9,25))</f>
        <v>1.0090389680756107E-6</v>
      </c>
    </row>
    <row r="516" spans="1:6" ht="12.75" x14ac:dyDescent="0.2">
      <c r="A516" s="1">
        <v>21</v>
      </c>
      <c r="B516" s="1">
        <v>2</v>
      </c>
      <c r="C516" s="1" t="s">
        <v>7</v>
      </c>
      <c r="D516" s="1" t="s">
        <v>9</v>
      </c>
      <c r="E516" s="1">
        <v>1.8702473640441799</v>
      </c>
      <c r="F516" s="1">
        <f>Tabla1[[#This Row],[tiempo]]/(IF(Tabla1[[#This Row],[tamanho]]=$I$3,$L$3,IF(Tabla1[[#This Row],[tamanho]]=$I$4,$L$4,IF(Tabla1[[#This Row],[tamanho]]=$I$5,$L$5,IF(Tabla1[[#This Row],[tamanho]]=$I$6,$L$6,0))))*IF(C516="8_1",9,25))</f>
        <v>4.0763447740198558E-7</v>
      </c>
    </row>
    <row r="517" spans="1:6" ht="12.75" x14ac:dyDescent="0.2">
      <c r="A517" s="1">
        <v>21</v>
      </c>
      <c r="B517" s="1">
        <v>2</v>
      </c>
      <c r="C517" s="1" t="s">
        <v>8</v>
      </c>
      <c r="D517" s="1" t="s">
        <v>9</v>
      </c>
      <c r="E517" s="1">
        <v>1.8755896091461099</v>
      </c>
      <c r="F517" s="1">
        <f>Tabla1[[#This Row],[tiempo]]/(IF(Tabla1[[#This Row],[tamanho]]=$I$3,$L$3,IF(Tabla1[[#This Row],[tamanho]]=$I$4,$L$4,IF(Tabla1[[#This Row],[tamanho]]=$I$5,$L$5,IF(Tabla1[[#This Row],[tamanho]]=$I$6,$L$6,0))))*IF(C517="8_1",9,25))</f>
        <v>4.0879885989605821E-7</v>
      </c>
    </row>
    <row r="518" spans="1:6" ht="12.75" x14ac:dyDescent="0.2">
      <c r="A518" s="1">
        <v>21</v>
      </c>
      <c r="B518" s="1">
        <v>3</v>
      </c>
      <c r="C518" s="1" t="s">
        <v>5</v>
      </c>
      <c r="D518" s="1" t="s">
        <v>6</v>
      </c>
      <c r="E518" s="1">
        <v>3.7600016593933101</v>
      </c>
      <c r="F518" s="1">
        <f>Tabla1[[#This Row],[tiempo]]/(IF(Tabla1[[#This Row],[tamanho]]=$I$3,$L$3,IF(Tabla1[[#This Row],[tamanho]]=$I$4,$L$4,IF(Tabla1[[#This Row],[tamanho]]=$I$5,$L$5,IF(Tabla1[[#This Row],[tamanho]]=$I$6,$L$6,0))))*IF(C518="8_1",9,25))</f>
        <v>1.010949617195307E-6</v>
      </c>
    </row>
    <row r="519" spans="1:6" ht="12.75" x14ac:dyDescent="0.2">
      <c r="A519" s="1">
        <v>21</v>
      </c>
      <c r="B519" s="1">
        <v>3</v>
      </c>
      <c r="C519" s="1" t="s">
        <v>7</v>
      </c>
      <c r="D519" s="1" t="s">
        <v>6</v>
      </c>
      <c r="E519" s="1">
        <v>4.2162272930145201</v>
      </c>
      <c r="F519" s="1">
        <f>Tabla1[[#This Row],[tiempo]]/(IF(Tabla1[[#This Row],[tamanho]]=$I$3,$L$3,IF(Tabla1[[#This Row],[tamanho]]=$I$4,$L$4,IF(Tabla1[[#This Row],[tamanho]]=$I$5,$L$5,IF(Tabla1[[#This Row],[tamanho]]=$I$6,$L$6,0))))*IF(C519="8_1",9,25))</f>
        <v>4.0810131256295975E-7</v>
      </c>
    </row>
    <row r="520" spans="1:6" ht="12.75" x14ac:dyDescent="0.2">
      <c r="A520" s="1">
        <v>21</v>
      </c>
      <c r="B520" s="1">
        <v>3</v>
      </c>
      <c r="C520" s="1" t="s">
        <v>8</v>
      </c>
      <c r="D520" s="1" t="s">
        <v>6</v>
      </c>
      <c r="E520" s="1">
        <v>4.2526803016662598</v>
      </c>
      <c r="F520" s="1">
        <f>Tabla1[[#This Row],[tiempo]]/(IF(Tabla1[[#This Row],[tamanho]]=$I$3,$L$3,IF(Tabla1[[#This Row],[tamanho]]=$I$4,$L$4,IF(Tabla1[[#This Row],[tamanho]]=$I$5,$L$5,IF(Tabla1[[#This Row],[tamanho]]=$I$6,$L$6,0))))*IF(C520="8_1",9,25))</f>
        <v>4.1162970883853328E-7</v>
      </c>
    </row>
    <row r="521" spans="1:6" ht="12.75" x14ac:dyDescent="0.2">
      <c r="A521" s="1">
        <v>21</v>
      </c>
      <c r="B521" s="1">
        <v>3</v>
      </c>
      <c r="C521" s="1" t="s">
        <v>5</v>
      </c>
      <c r="D521" s="1" t="s">
        <v>9</v>
      </c>
      <c r="E521" s="1">
        <v>3.78465700149536</v>
      </c>
      <c r="F521" s="1">
        <f>Tabla1[[#This Row],[tiempo]]/(IF(Tabla1[[#This Row],[tamanho]]=$I$3,$L$3,IF(Tabla1[[#This Row],[tamanho]]=$I$4,$L$4,IF(Tabla1[[#This Row],[tamanho]]=$I$5,$L$5,IF(Tabla1[[#This Row],[tamanho]]=$I$6,$L$6,0))))*IF(C521="8_1",9,25))</f>
        <v>1.0175786857218111E-6</v>
      </c>
    </row>
    <row r="522" spans="1:6" ht="12.75" x14ac:dyDescent="0.2">
      <c r="A522" s="1">
        <v>21</v>
      </c>
      <c r="B522" s="1">
        <v>3</v>
      </c>
      <c r="C522" s="1" t="s">
        <v>7</v>
      </c>
      <c r="D522" s="1" t="s">
        <v>9</v>
      </c>
      <c r="E522" s="1">
        <v>4.2716784477233798</v>
      </c>
      <c r="F522" s="1">
        <f>Tabla1[[#This Row],[tiempo]]/(IF(Tabla1[[#This Row],[tamanho]]=$I$3,$L$3,IF(Tabla1[[#This Row],[tamanho]]=$I$4,$L$4,IF(Tabla1[[#This Row],[tamanho]]=$I$5,$L$5,IF(Tabla1[[#This Row],[tamanho]]=$I$6,$L$6,0))))*IF(C522="8_1",9,25))</f>
        <v>4.1346859649884015E-7</v>
      </c>
    </row>
    <row r="523" spans="1:6" ht="12.75" x14ac:dyDescent="0.2">
      <c r="A523" s="1">
        <v>21</v>
      </c>
      <c r="B523" s="1">
        <v>3</v>
      </c>
      <c r="C523" s="1" t="s">
        <v>8</v>
      </c>
      <c r="D523" s="1" t="s">
        <v>9</v>
      </c>
      <c r="E523" s="1">
        <v>4.3402011394500697</v>
      </c>
      <c r="F523" s="1">
        <f>Tabla1[[#This Row],[tiempo]]/(IF(Tabla1[[#This Row],[tamanho]]=$I$3,$L$3,IF(Tabla1[[#This Row],[tamanho]]=$I$4,$L$4,IF(Tabla1[[#This Row],[tamanho]]=$I$5,$L$5,IF(Tabla1[[#This Row],[tamanho]]=$I$6,$L$6,0))))*IF(C523="8_1",9,25))</f>
        <v>4.201011137922841E-7</v>
      </c>
    </row>
    <row r="524" spans="1:6" ht="12.75" x14ac:dyDescent="0.2">
      <c r="A524" s="1">
        <v>21</v>
      </c>
      <c r="B524" s="1">
        <v>4</v>
      </c>
      <c r="C524" s="1" t="s">
        <v>5</v>
      </c>
      <c r="D524" s="1" t="s">
        <v>6</v>
      </c>
      <c r="E524" s="1">
        <v>6.7949717044830296</v>
      </c>
      <c r="F524" s="1">
        <f>Tabla1[[#This Row],[tiempo]]/(IF(Tabla1[[#This Row],[tamanho]]=$I$3,$L$3,IF(Tabla1[[#This Row],[tamanho]]=$I$4,$L$4,IF(Tabla1[[#This Row],[tamanho]]=$I$5,$L$5,IF(Tabla1[[#This Row],[tamanho]]=$I$6,$L$6,0))))*IF(C524="8_1",9,25))</f>
        <v>1.0260855909172292E-6</v>
      </c>
    </row>
    <row r="525" spans="1:6" ht="12.75" x14ac:dyDescent="0.2">
      <c r="A525" s="1">
        <v>21</v>
      </c>
      <c r="B525" s="1">
        <v>4</v>
      </c>
      <c r="C525" s="1" t="s">
        <v>7</v>
      </c>
      <c r="D525" s="1" t="s">
        <v>6</v>
      </c>
      <c r="E525" s="1">
        <v>7.5820026397704998</v>
      </c>
      <c r="F525" s="1">
        <f>Tabla1[[#This Row],[tiempo]]/(IF(Tabla1[[#This Row],[tamanho]]=$I$3,$L$3,IF(Tabla1[[#This Row],[tamanho]]=$I$4,$L$4,IF(Tabla1[[#This Row],[tamanho]]=$I$5,$L$5,IF(Tabla1[[#This Row],[tamanho]]=$I$6,$L$6,0))))*IF(C525="8_1",9,25))</f>
        <v>4.1217568505540204E-7</v>
      </c>
    </row>
    <row r="526" spans="1:6" ht="12.75" x14ac:dyDescent="0.2">
      <c r="A526" s="1">
        <v>21</v>
      </c>
      <c r="B526" s="1">
        <v>4</v>
      </c>
      <c r="C526" s="1" t="s">
        <v>8</v>
      </c>
      <c r="D526" s="1" t="s">
        <v>6</v>
      </c>
      <c r="E526" s="1">
        <v>7.6625955104827801</v>
      </c>
      <c r="F526" s="1">
        <f>Tabla1[[#This Row],[tiempo]]/(IF(Tabla1[[#This Row],[tamanho]]=$I$3,$L$3,IF(Tabla1[[#This Row],[tamanho]]=$I$4,$L$4,IF(Tabla1[[#This Row],[tamanho]]=$I$5,$L$5,IF(Tabla1[[#This Row],[tamanho]]=$I$6,$L$6,0))))*IF(C526="8_1",9,25))</f>
        <v>4.165569050674042E-7</v>
      </c>
    </row>
    <row r="527" spans="1:6" ht="12.75" x14ac:dyDescent="0.2">
      <c r="A527" s="1">
        <v>21</v>
      </c>
      <c r="B527" s="1">
        <v>4</v>
      </c>
      <c r="C527" s="1" t="s">
        <v>5</v>
      </c>
      <c r="D527" s="1" t="s">
        <v>9</v>
      </c>
      <c r="E527" s="1">
        <v>6.8424494266510001</v>
      </c>
      <c r="F527" s="1">
        <f>Tabla1[[#This Row],[tiempo]]/(IF(Tabla1[[#This Row],[tamanho]]=$I$3,$L$3,IF(Tabla1[[#This Row],[tamanho]]=$I$4,$L$4,IF(Tabla1[[#This Row],[tamanho]]=$I$5,$L$5,IF(Tabla1[[#This Row],[tamanho]]=$I$6,$L$6,0))))*IF(C527="8_1",9,25))</f>
        <v>1.033255040434434E-6</v>
      </c>
    </row>
    <row r="528" spans="1:6" ht="12.75" x14ac:dyDescent="0.2">
      <c r="A528" s="1">
        <v>21</v>
      </c>
      <c r="B528" s="1">
        <v>4</v>
      </c>
      <c r="C528" s="1" t="s">
        <v>7</v>
      </c>
      <c r="D528" s="1" t="s">
        <v>9</v>
      </c>
      <c r="E528" s="1">
        <v>7.7345962524414</v>
      </c>
      <c r="F528" s="1">
        <f>Tabla1[[#This Row],[tiempo]]/(IF(Tabla1[[#This Row],[tamanho]]=$I$3,$L$3,IF(Tabla1[[#This Row],[tamanho]]=$I$4,$L$4,IF(Tabla1[[#This Row],[tamanho]]=$I$5,$L$5,IF(Tabla1[[#This Row],[tamanho]]=$I$6,$L$6,0))))*IF(C528="8_1",9,25))</f>
        <v>4.2047103653784507E-7</v>
      </c>
    </row>
    <row r="529" spans="1:6" ht="12.75" x14ac:dyDescent="0.2">
      <c r="A529" s="1">
        <v>21</v>
      </c>
      <c r="B529" s="1">
        <v>4</v>
      </c>
      <c r="C529" s="1" t="s">
        <v>8</v>
      </c>
      <c r="D529" s="1" t="s">
        <v>9</v>
      </c>
      <c r="E529" s="1">
        <v>7.7178699970245299</v>
      </c>
      <c r="F529" s="1">
        <f>Tabla1[[#This Row],[tiempo]]/(IF(Tabla1[[#This Row],[tamanho]]=$I$3,$L$3,IF(Tabla1[[#This Row],[tamanho]]=$I$4,$L$4,IF(Tabla1[[#This Row],[tamanho]]=$I$5,$L$5,IF(Tabla1[[#This Row],[tamanho]]=$I$6,$L$6,0))))*IF(C529="8_1",9,25))</f>
        <v>4.1956175753697823E-7</v>
      </c>
    </row>
    <row r="530" spans="1:6" ht="12.75" x14ac:dyDescent="0.2">
      <c r="A530" s="1">
        <v>22</v>
      </c>
      <c r="B530" s="1">
        <v>1</v>
      </c>
      <c r="C530" s="1" t="s">
        <v>5</v>
      </c>
      <c r="D530" s="1" t="s">
        <v>6</v>
      </c>
      <c r="E530" s="1">
        <v>0.40942597389221103</v>
      </c>
      <c r="F530" s="1">
        <f>Tabla1[[#This Row],[tiempo]]/(IF(Tabla1[[#This Row],[tamanho]]=$I$3,$L$3,IF(Tabla1[[#This Row],[tamanho]]=$I$4,$L$4,IF(Tabla1[[#This Row],[tamanho]]=$I$5,$L$5,IF(Tabla1[[#This Row],[tamanho]]=$I$6,$L$6,0))))*IF(C530="8_1",9,25))</f>
        <v>1.6873177878013552E-6</v>
      </c>
    </row>
    <row r="531" spans="1:6" ht="12.75" x14ac:dyDescent="0.2">
      <c r="A531" s="1">
        <v>22</v>
      </c>
      <c r="B531" s="1">
        <v>1</v>
      </c>
      <c r="C531" s="1" t="s">
        <v>7</v>
      </c>
      <c r="D531" s="1" t="s">
        <v>6</v>
      </c>
      <c r="E531" s="1">
        <v>0.45737600326538003</v>
      </c>
      <c r="F531" s="1">
        <f>Tabla1[[#This Row],[tiempo]]/(IF(Tabla1[[#This Row],[tamanho]]=$I$3,$L$3,IF(Tabla1[[#This Row],[tamanho]]=$I$4,$L$4,IF(Tabla1[[#This Row],[tamanho]]=$I$5,$L$5,IF(Tabla1[[#This Row],[tamanho]]=$I$6,$L$6,0))))*IF(C531="8_1",9,25))</f>
        <v>6.7857424170524831E-7</v>
      </c>
    </row>
    <row r="532" spans="1:6" ht="12.75" x14ac:dyDescent="0.2">
      <c r="A532" s="1">
        <v>22</v>
      </c>
      <c r="B532" s="1">
        <v>1</v>
      </c>
      <c r="C532" s="1" t="s">
        <v>8</v>
      </c>
      <c r="D532" s="1" t="s">
        <v>6</v>
      </c>
      <c r="E532" s="1">
        <v>0.459582328796386</v>
      </c>
      <c r="F532" s="1">
        <f>Tabla1[[#This Row],[tiempo]]/(IF(Tabla1[[#This Row],[tamanho]]=$I$3,$L$3,IF(Tabla1[[#This Row],[tamanho]]=$I$4,$L$4,IF(Tabla1[[#This Row],[tamanho]]=$I$5,$L$5,IF(Tabla1[[#This Row],[tamanho]]=$I$6,$L$6,0))))*IF(C532="8_1",9,25))</f>
        <v>6.818476003061993E-7</v>
      </c>
    </row>
    <row r="533" spans="1:6" ht="12.75" x14ac:dyDescent="0.2">
      <c r="A533" s="1">
        <v>22</v>
      </c>
      <c r="B533" s="1">
        <v>1</v>
      </c>
      <c r="C533" s="1" t="s">
        <v>5</v>
      </c>
      <c r="D533" s="1" t="s">
        <v>9</v>
      </c>
      <c r="E533" s="1">
        <v>0.40990447998046797</v>
      </c>
      <c r="F533" s="1">
        <f>Tabla1[[#This Row],[tiempo]]/(IF(Tabla1[[#This Row],[tamanho]]=$I$3,$L$3,IF(Tabla1[[#This Row],[tamanho]]=$I$4,$L$4,IF(Tabla1[[#This Row],[tamanho]]=$I$5,$L$5,IF(Tabla1[[#This Row],[tamanho]]=$I$6,$L$6,0))))*IF(C533="8_1",9,25))</f>
        <v>1.689289797116279E-6</v>
      </c>
    </row>
    <row r="534" spans="1:6" ht="12.75" x14ac:dyDescent="0.2">
      <c r="A534" s="1">
        <v>22</v>
      </c>
      <c r="B534" s="1">
        <v>1</v>
      </c>
      <c r="C534" s="1" t="s">
        <v>7</v>
      </c>
      <c r="D534" s="1" t="s">
        <v>9</v>
      </c>
      <c r="E534" s="1">
        <v>0.45859360694885198</v>
      </c>
      <c r="F534" s="1">
        <f>Tabla1[[#This Row],[tiempo]]/(IF(Tabla1[[#This Row],[tamanho]]=$I$3,$L$3,IF(Tabla1[[#This Row],[tamanho]]=$I$4,$L$4,IF(Tabla1[[#This Row],[tamanho]]=$I$5,$L$5,IF(Tabla1[[#This Row],[tamanho]]=$I$6,$L$6,0))))*IF(C534="8_1",9,25))</f>
        <v>6.8038070835481171E-7</v>
      </c>
    </row>
    <row r="535" spans="1:6" ht="12.75" x14ac:dyDescent="0.2">
      <c r="A535" s="1">
        <v>22</v>
      </c>
      <c r="B535" s="1">
        <v>1</v>
      </c>
      <c r="C535" s="1" t="s">
        <v>8</v>
      </c>
      <c r="D535" s="1" t="s">
        <v>9</v>
      </c>
      <c r="E535" s="1">
        <v>0.46338081359863198</v>
      </c>
      <c r="F535" s="1">
        <f>Tabla1[[#This Row],[tiempo]]/(IF(Tabla1[[#This Row],[tamanho]]=$I$3,$L$3,IF(Tabla1[[#This Row],[tamanho]]=$I$4,$L$4,IF(Tabla1[[#This Row],[tamanho]]=$I$5,$L$5,IF(Tabla1[[#This Row],[tamanho]]=$I$6,$L$6,0))))*IF(C535="8_1",9,25))</f>
        <v>6.8748312540133074E-7</v>
      </c>
    </row>
    <row r="536" spans="1:6" ht="12.75" x14ac:dyDescent="0.2">
      <c r="A536" s="1">
        <v>22</v>
      </c>
      <c r="B536" s="1">
        <v>2</v>
      </c>
      <c r="C536" s="1" t="s">
        <v>5</v>
      </c>
      <c r="D536" s="1" t="s">
        <v>6</v>
      </c>
      <c r="E536" s="1">
        <v>1.67584776878356</v>
      </c>
      <c r="F536" s="1">
        <f>Tabla1[[#This Row],[tiempo]]/(IF(Tabla1[[#This Row],[tamanho]]=$I$3,$L$3,IF(Tabla1[[#This Row],[tamanho]]=$I$4,$L$4,IF(Tabla1[[#This Row],[tamanho]]=$I$5,$L$5,IF(Tabla1[[#This Row],[tamanho]]=$I$6,$L$6,0))))*IF(C536="8_1",9,25))</f>
        <v>1.0146211769848725E-6</v>
      </c>
    </row>
    <row r="537" spans="1:6" ht="12.75" x14ac:dyDescent="0.2">
      <c r="A537" s="1">
        <v>22</v>
      </c>
      <c r="B537" s="1">
        <v>2</v>
      </c>
      <c r="C537" s="1" t="s">
        <v>7</v>
      </c>
      <c r="D537" s="1" t="s">
        <v>6</v>
      </c>
      <c r="E537" s="1">
        <v>1.8681662082672099</v>
      </c>
      <c r="F537" s="1">
        <f>Tabla1[[#This Row],[tiempo]]/(IF(Tabla1[[#This Row],[tamanho]]=$I$3,$L$3,IF(Tabla1[[#This Row],[tamanho]]=$I$4,$L$4,IF(Tabla1[[#This Row],[tamanho]]=$I$5,$L$5,IF(Tabla1[[#This Row],[tamanho]]=$I$6,$L$6,0))))*IF(C537="8_1",9,25))</f>
        <v>4.0718087384993839E-7</v>
      </c>
    </row>
    <row r="538" spans="1:6" ht="12.75" x14ac:dyDescent="0.2">
      <c r="A538" s="1">
        <v>22</v>
      </c>
      <c r="B538" s="1">
        <v>2</v>
      </c>
      <c r="C538" s="1" t="s">
        <v>8</v>
      </c>
      <c r="D538" s="1" t="s">
        <v>6</v>
      </c>
      <c r="E538" s="1">
        <v>1.8888418674468901</v>
      </c>
      <c r="F538" s="1">
        <f>Tabla1[[#This Row],[tiempo]]/(IF(Tabla1[[#This Row],[tamanho]]=$I$3,$L$3,IF(Tabla1[[#This Row],[tamanho]]=$I$4,$L$4,IF(Tabla1[[#This Row],[tamanho]]=$I$5,$L$5,IF(Tabla1[[#This Row],[tamanho]]=$I$6,$L$6,0))))*IF(C538="8_1",9,25))</f>
        <v>4.1168728925074707E-7</v>
      </c>
    </row>
    <row r="539" spans="1:6" ht="12.75" x14ac:dyDescent="0.2">
      <c r="A539" s="1">
        <v>22</v>
      </c>
      <c r="B539" s="1">
        <v>2</v>
      </c>
      <c r="C539" s="1" t="s">
        <v>5</v>
      </c>
      <c r="D539" s="1" t="s">
        <v>9</v>
      </c>
      <c r="E539" s="1">
        <v>1.69408583641052</v>
      </c>
      <c r="F539" s="1">
        <f>Tabla1[[#This Row],[tiempo]]/(IF(Tabla1[[#This Row],[tamanho]]=$I$3,$L$3,IF(Tabla1[[#This Row],[tamanho]]=$I$4,$L$4,IF(Tabla1[[#This Row],[tamanho]]=$I$5,$L$5,IF(Tabla1[[#This Row],[tamanho]]=$I$6,$L$6,0))))*IF(C539="8_1",9,25))</f>
        <v>1.0256631880710155E-6</v>
      </c>
    </row>
    <row r="540" spans="1:6" ht="12.75" x14ac:dyDescent="0.2">
      <c r="A540" s="1">
        <v>22</v>
      </c>
      <c r="B540" s="1">
        <v>2</v>
      </c>
      <c r="C540" s="1" t="s">
        <v>7</v>
      </c>
      <c r="D540" s="1" t="s">
        <v>9</v>
      </c>
      <c r="E540" s="1">
        <v>1.88251233100891</v>
      </c>
      <c r="F540" s="1">
        <f>Tabla1[[#This Row],[tiempo]]/(IF(Tabla1[[#This Row],[tamanho]]=$I$3,$L$3,IF(Tabla1[[#This Row],[tamanho]]=$I$4,$L$4,IF(Tabla1[[#This Row],[tamanho]]=$I$5,$L$5,IF(Tabla1[[#This Row],[tamanho]]=$I$6,$L$6,0))))*IF(C540="8_1",9,25))</f>
        <v>4.1030771918547312E-7</v>
      </c>
    </row>
    <row r="541" spans="1:6" ht="12.75" x14ac:dyDescent="0.2">
      <c r="A541" s="1">
        <v>22</v>
      </c>
      <c r="B541" s="1">
        <v>2</v>
      </c>
      <c r="C541" s="1" t="s">
        <v>8</v>
      </c>
      <c r="D541" s="1" t="s">
        <v>9</v>
      </c>
      <c r="E541" s="1">
        <v>1.96648550033569</v>
      </c>
      <c r="F541" s="1">
        <f>Tabla1[[#This Row],[tiempo]]/(IF(Tabla1[[#This Row],[tamanho]]=$I$3,$L$3,IF(Tabla1[[#This Row],[tamanho]]=$I$4,$L$4,IF(Tabla1[[#This Row],[tamanho]]=$I$5,$L$5,IF(Tabla1[[#This Row],[tamanho]]=$I$6,$L$6,0))))*IF(C541="8_1",9,25))</f>
        <v>4.286103029251403E-7</v>
      </c>
    </row>
    <row r="542" spans="1:6" ht="12.75" x14ac:dyDescent="0.2">
      <c r="A542" s="1">
        <v>22</v>
      </c>
      <c r="B542" s="1">
        <v>3</v>
      </c>
      <c r="C542" s="1" t="s">
        <v>5</v>
      </c>
      <c r="D542" s="1" t="s">
        <v>6</v>
      </c>
      <c r="E542" s="1">
        <v>3.7899873256683301</v>
      </c>
      <c r="F542" s="1">
        <f>Tabla1[[#This Row],[tiempo]]/(IF(Tabla1[[#This Row],[tamanho]]=$I$3,$L$3,IF(Tabla1[[#This Row],[tamanho]]=$I$4,$L$4,IF(Tabla1[[#This Row],[tamanho]]=$I$5,$L$5,IF(Tabla1[[#This Row],[tamanho]]=$I$6,$L$6,0))))*IF(C542="8_1",9,25))</f>
        <v>1.0190118471058569E-6</v>
      </c>
    </row>
    <row r="543" spans="1:6" ht="12.75" x14ac:dyDescent="0.2">
      <c r="A543" s="1">
        <v>22</v>
      </c>
      <c r="B543" s="1">
        <v>3</v>
      </c>
      <c r="C543" s="1" t="s">
        <v>7</v>
      </c>
      <c r="D543" s="1" t="s">
        <v>6</v>
      </c>
      <c r="E543" s="1">
        <v>4.2511601448059002</v>
      </c>
      <c r="F543" s="1">
        <f>Tabla1[[#This Row],[tiempo]]/(IF(Tabla1[[#This Row],[tamanho]]=$I$3,$L$3,IF(Tabla1[[#This Row],[tamanho]]=$I$4,$L$4,IF(Tabla1[[#This Row],[tamanho]]=$I$5,$L$5,IF(Tabla1[[#This Row],[tamanho]]=$I$6,$L$6,0))))*IF(C543="8_1",9,25))</f>
        <v>4.1148256828682672E-7</v>
      </c>
    </row>
    <row r="544" spans="1:6" ht="12.75" x14ac:dyDescent="0.2">
      <c r="A544" s="1">
        <v>22</v>
      </c>
      <c r="B544" s="1">
        <v>3</v>
      </c>
      <c r="C544" s="1" t="s">
        <v>8</v>
      </c>
      <c r="D544" s="1" t="s">
        <v>6</v>
      </c>
      <c r="E544" s="1">
        <v>4.2865304946899396</v>
      </c>
      <c r="F544" s="1">
        <f>Tabla1[[#This Row],[tiempo]]/(IF(Tabla1[[#This Row],[tamanho]]=$I$3,$L$3,IF(Tabla1[[#This Row],[tamanho]]=$I$4,$L$4,IF(Tabla1[[#This Row],[tamanho]]=$I$5,$L$5,IF(Tabla1[[#This Row],[tamanho]]=$I$6,$L$6,0))))*IF(C544="8_1",9,25))</f>
        <v>4.1490617076608659E-7</v>
      </c>
    </row>
    <row r="545" spans="1:6" ht="12.75" x14ac:dyDescent="0.2">
      <c r="A545" s="1">
        <v>22</v>
      </c>
      <c r="B545" s="1">
        <v>3</v>
      </c>
      <c r="C545" s="1" t="s">
        <v>5</v>
      </c>
      <c r="D545" s="1" t="s">
        <v>9</v>
      </c>
      <c r="E545" s="1">
        <v>3.78318738937377</v>
      </c>
      <c r="F545" s="1">
        <f>Tabla1[[#This Row],[tiempo]]/(IF(Tabla1[[#This Row],[tamanho]]=$I$3,$L$3,IF(Tabla1[[#This Row],[tamanho]]=$I$4,$L$4,IF(Tabla1[[#This Row],[tamanho]]=$I$5,$L$5,IF(Tabla1[[#This Row],[tamanho]]=$I$6,$L$6,0))))*IF(C545="8_1",9,25))</f>
        <v>1.0171835519037087E-6</v>
      </c>
    </row>
    <row r="546" spans="1:6" ht="12.75" x14ac:dyDescent="0.2">
      <c r="A546" s="1">
        <v>22</v>
      </c>
      <c r="B546" s="1">
        <v>3</v>
      </c>
      <c r="C546" s="1" t="s">
        <v>7</v>
      </c>
      <c r="D546" s="1" t="s">
        <v>9</v>
      </c>
      <c r="E546" s="1">
        <v>4.2354600429534903</v>
      </c>
      <c r="F546" s="1">
        <f>Tabla1[[#This Row],[tiempo]]/(IF(Tabla1[[#This Row],[tamanho]]=$I$3,$L$3,IF(Tabla1[[#This Row],[tamanho]]=$I$4,$L$4,IF(Tabla1[[#This Row],[tamanho]]=$I$5,$L$5,IF(Tabla1[[#This Row],[tamanho]]=$I$6,$L$6,0))))*IF(C546="8_1",9,25))</f>
        <v>4.0996290823814857E-7</v>
      </c>
    </row>
    <row r="547" spans="1:6" ht="12.75" x14ac:dyDescent="0.2">
      <c r="A547" s="1">
        <v>22</v>
      </c>
      <c r="B547" s="1">
        <v>3</v>
      </c>
      <c r="C547" s="1" t="s">
        <v>8</v>
      </c>
      <c r="D547" s="1" t="s">
        <v>9</v>
      </c>
      <c r="E547" s="1">
        <v>4.3764271736145002</v>
      </c>
      <c r="F547" s="1">
        <f>Tabla1[[#This Row],[tiempo]]/(IF(Tabla1[[#This Row],[tamanho]]=$I$3,$L$3,IF(Tabla1[[#This Row],[tamanho]]=$I$4,$L$4,IF(Tabla1[[#This Row],[tamanho]]=$I$5,$L$5,IF(Tabla1[[#This Row],[tamanho]]=$I$6,$L$6,0))))*IF(C547="8_1",9,25))</f>
        <v>4.236075405250053E-7</v>
      </c>
    </row>
    <row r="548" spans="1:6" ht="12.75" x14ac:dyDescent="0.2">
      <c r="A548" s="1">
        <v>22</v>
      </c>
      <c r="B548" s="1">
        <v>4</v>
      </c>
      <c r="C548" s="1" t="s">
        <v>5</v>
      </c>
      <c r="D548" s="1" t="s">
        <v>6</v>
      </c>
      <c r="E548" s="1">
        <v>6.9140112400054896</v>
      </c>
      <c r="F548" s="1">
        <f>Tabla1[[#This Row],[tiempo]]/(IF(Tabla1[[#This Row],[tamanho]]=$I$3,$L$3,IF(Tabla1[[#This Row],[tamanho]]=$I$4,$L$4,IF(Tabla1[[#This Row],[tamanho]]=$I$5,$L$5,IF(Tabla1[[#This Row],[tamanho]]=$I$6,$L$6,0))))*IF(C548="8_1",9,25))</f>
        <v>1.0440613467350923E-6</v>
      </c>
    </row>
    <row r="549" spans="1:6" ht="12.75" x14ac:dyDescent="0.2">
      <c r="A549" s="1">
        <v>22</v>
      </c>
      <c r="B549" s="1">
        <v>4</v>
      </c>
      <c r="C549" s="1" t="s">
        <v>7</v>
      </c>
      <c r="D549" s="1" t="s">
        <v>6</v>
      </c>
      <c r="E549" s="1">
        <v>7.6437113285064697</v>
      </c>
      <c r="F549" s="1">
        <f>Tabla1[[#This Row],[tiempo]]/(IF(Tabla1[[#This Row],[tamanho]]=$I$3,$L$3,IF(Tabla1[[#This Row],[tamanho]]=$I$4,$L$4,IF(Tabla1[[#This Row],[tamanho]]=$I$5,$L$5,IF(Tabla1[[#This Row],[tamanho]]=$I$6,$L$6,0))))*IF(C549="8_1",9,25))</f>
        <v>4.1553031604962035E-7</v>
      </c>
    </row>
    <row r="550" spans="1:6" ht="12.75" x14ac:dyDescent="0.2">
      <c r="A550" s="1">
        <v>22</v>
      </c>
      <c r="B550" s="1">
        <v>4</v>
      </c>
      <c r="C550" s="1" t="s">
        <v>8</v>
      </c>
      <c r="D550" s="1" t="s">
        <v>6</v>
      </c>
      <c r="E550" s="1">
        <v>7.67201328277587</v>
      </c>
      <c r="F550" s="1">
        <f>Tabla1[[#This Row],[tiempo]]/(IF(Tabla1[[#This Row],[tamanho]]=$I$3,$L$3,IF(Tabla1[[#This Row],[tamanho]]=$I$4,$L$4,IF(Tabla1[[#This Row],[tamanho]]=$I$5,$L$5,IF(Tabla1[[#This Row],[tamanho]]=$I$6,$L$6,0))))*IF(C550="8_1",9,25))</f>
        <v>4.1706887755422961E-7</v>
      </c>
    </row>
    <row r="551" spans="1:6" ht="12.75" x14ac:dyDescent="0.2">
      <c r="A551" s="1">
        <v>22</v>
      </c>
      <c r="B551" s="1">
        <v>4</v>
      </c>
      <c r="C551" s="1" t="s">
        <v>5</v>
      </c>
      <c r="D551" s="1" t="s">
        <v>9</v>
      </c>
      <c r="E551" s="1">
        <v>6.8570737838745099</v>
      </c>
      <c r="F551" s="1">
        <f>Tabla1[[#This Row],[tiempo]]/(IF(Tabla1[[#This Row],[tamanho]]=$I$3,$L$3,IF(Tabla1[[#This Row],[tamanho]]=$I$4,$L$4,IF(Tabla1[[#This Row],[tamanho]]=$I$5,$L$5,IF(Tabla1[[#This Row],[tamanho]]=$I$6,$L$6,0))))*IF(C551="8_1",9,25))</f>
        <v>1.035463414931942E-6</v>
      </c>
    </row>
    <row r="552" spans="1:6" ht="12.75" x14ac:dyDescent="0.2">
      <c r="A552" s="1">
        <v>22</v>
      </c>
      <c r="B552" s="1">
        <v>4</v>
      </c>
      <c r="C552" s="1" t="s">
        <v>7</v>
      </c>
      <c r="D552" s="1" t="s">
        <v>9</v>
      </c>
      <c r="E552" s="1">
        <v>7.6203765869140598</v>
      </c>
      <c r="F552" s="1">
        <f>Tabla1[[#This Row],[tiempo]]/(IF(Tabla1[[#This Row],[tamanho]]=$I$3,$L$3,IF(Tabla1[[#This Row],[tamanho]]=$I$4,$L$4,IF(Tabla1[[#This Row],[tamanho]]=$I$5,$L$5,IF(Tabla1[[#This Row],[tamanho]]=$I$6,$L$6,0))))*IF(C552="8_1",9,25))</f>
        <v>4.1426178403263154E-7</v>
      </c>
    </row>
    <row r="553" spans="1:6" ht="12.75" x14ac:dyDescent="0.2">
      <c r="A553" s="1">
        <v>22</v>
      </c>
      <c r="B553" s="1">
        <v>4</v>
      </c>
      <c r="C553" s="1" t="s">
        <v>8</v>
      </c>
      <c r="D553" s="1" t="s">
        <v>9</v>
      </c>
      <c r="E553" s="1">
        <v>7.7885894775390598</v>
      </c>
      <c r="F553" s="1">
        <f>Tabla1[[#This Row],[tiempo]]/(IF(Tabla1[[#This Row],[tamanho]]=$I$3,$L$3,IF(Tabla1[[#This Row],[tamanho]]=$I$4,$L$4,IF(Tabla1[[#This Row],[tamanho]]=$I$5,$L$5,IF(Tabla1[[#This Row],[tamanho]]=$I$6,$L$6,0))))*IF(C553="8_1",9,25))</f>
        <v>4.2340623658990573E-7</v>
      </c>
    </row>
    <row r="554" spans="1:6" ht="12.75" x14ac:dyDescent="0.2">
      <c r="A554" s="1">
        <v>23</v>
      </c>
      <c r="B554" s="1">
        <v>1</v>
      </c>
      <c r="C554" s="1" t="s">
        <v>5</v>
      </c>
      <c r="D554" s="1" t="s">
        <v>6</v>
      </c>
      <c r="E554" s="1">
        <v>0.404124975204467</v>
      </c>
      <c r="F554" s="1">
        <f>Tabla1[[#This Row],[tiempo]]/(IF(Tabla1[[#This Row],[tamanho]]=$I$3,$L$3,IF(Tabla1[[#This Row],[tamanho]]=$I$4,$L$4,IF(Tabla1[[#This Row],[tamanho]]=$I$5,$L$5,IF(Tabla1[[#This Row],[tamanho]]=$I$6,$L$6,0))))*IF(C554="8_1",9,25))</f>
        <v>1.6654714225258172E-6</v>
      </c>
    </row>
    <row r="555" spans="1:6" ht="12.75" x14ac:dyDescent="0.2">
      <c r="A555" s="1">
        <v>23</v>
      </c>
      <c r="B555" s="1">
        <v>1</v>
      </c>
      <c r="C555" s="1" t="s">
        <v>7</v>
      </c>
      <c r="D555" s="1" t="s">
        <v>6</v>
      </c>
      <c r="E555" s="1">
        <v>0.45332717895507801</v>
      </c>
      <c r="F555" s="1">
        <f>Tabla1[[#This Row],[tiempo]]/(IF(Tabla1[[#This Row],[tamanho]]=$I$3,$L$3,IF(Tabla1[[#This Row],[tamanho]]=$I$4,$L$4,IF(Tabla1[[#This Row],[tamanho]]=$I$5,$L$5,IF(Tabla1[[#This Row],[tamanho]]=$I$6,$L$6,0))))*IF(C555="8_1",9,25))</f>
        <v>6.7256730678398872E-7</v>
      </c>
    </row>
    <row r="556" spans="1:6" ht="12.75" x14ac:dyDescent="0.2">
      <c r="A556" s="1">
        <v>23</v>
      </c>
      <c r="B556" s="1">
        <v>1</v>
      </c>
      <c r="C556" s="1" t="s">
        <v>8</v>
      </c>
      <c r="D556" s="1" t="s">
        <v>6</v>
      </c>
      <c r="E556" s="1">
        <v>0.45550441741943298</v>
      </c>
      <c r="F556" s="1">
        <f>Tabla1[[#This Row],[tiempo]]/(IF(Tabla1[[#This Row],[tamanho]]=$I$3,$L$3,IF(Tabla1[[#This Row],[tamanho]]=$I$4,$L$4,IF(Tabla1[[#This Row],[tamanho]]=$I$5,$L$5,IF(Tabla1[[#This Row],[tamanho]]=$I$6,$L$6,0))))*IF(C556="8_1",9,25))</f>
        <v>6.7579751110037904E-7</v>
      </c>
    </row>
    <row r="557" spans="1:6" ht="12.75" x14ac:dyDescent="0.2">
      <c r="A557" s="1">
        <v>23</v>
      </c>
      <c r="B557" s="1">
        <v>1</v>
      </c>
      <c r="C557" s="1" t="s">
        <v>5</v>
      </c>
      <c r="D557" s="1" t="s">
        <v>9</v>
      </c>
      <c r="E557" s="1">
        <v>0.42675304412841703</v>
      </c>
      <c r="F557" s="1">
        <f>Tabla1[[#This Row],[tiempo]]/(IF(Tabla1[[#This Row],[tamanho]]=$I$3,$L$3,IF(Tabla1[[#This Row],[tamanho]]=$I$4,$L$4,IF(Tabla1[[#This Row],[tamanho]]=$I$5,$L$5,IF(Tabla1[[#This Row],[tamanho]]=$I$6,$L$6,0))))*IF(C557="8_1",9,25))</f>
        <v>1.7587257484202162E-6</v>
      </c>
    </row>
    <row r="558" spans="1:6" ht="12.75" x14ac:dyDescent="0.2">
      <c r="A558" s="1">
        <v>23</v>
      </c>
      <c r="B558" s="1">
        <v>1</v>
      </c>
      <c r="C558" s="1" t="s">
        <v>7</v>
      </c>
      <c r="D558" s="1" t="s">
        <v>9</v>
      </c>
      <c r="E558" s="1">
        <v>0.47872495651245101</v>
      </c>
      <c r="F558" s="1">
        <f>Tabla1[[#This Row],[tiempo]]/(IF(Tabla1[[#This Row],[tamanho]]=$I$3,$L$3,IF(Tabla1[[#This Row],[tamanho]]=$I$4,$L$4,IF(Tabla1[[#This Row],[tamanho]]=$I$5,$L$5,IF(Tabla1[[#This Row],[tamanho]]=$I$6,$L$6,0))))*IF(C558="8_1",9,25))</f>
        <v>7.1024807167753571E-7</v>
      </c>
    </row>
    <row r="559" spans="1:6" ht="12.75" x14ac:dyDescent="0.2">
      <c r="A559" s="1">
        <v>23</v>
      </c>
      <c r="B559" s="1">
        <v>1</v>
      </c>
      <c r="C559" s="1" t="s">
        <v>8</v>
      </c>
      <c r="D559" s="1" t="s">
        <v>9</v>
      </c>
      <c r="E559" s="1">
        <v>0.46477770805358798</v>
      </c>
      <c r="F559" s="1">
        <f>Tabla1[[#This Row],[tiempo]]/(IF(Tabla1[[#This Row],[tamanho]]=$I$3,$L$3,IF(Tabla1[[#This Row],[tamanho]]=$I$4,$L$4,IF(Tabla1[[#This Row],[tamanho]]=$I$5,$L$5,IF(Tabla1[[#This Row],[tamanho]]=$I$6,$L$6,0))))*IF(C559="8_1",9,25))</f>
        <v>6.8955559223113082E-7</v>
      </c>
    </row>
    <row r="560" spans="1:6" ht="12.75" x14ac:dyDescent="0.2">
      <c r="A560" s="1">
        <v>23</v>
      </c>
      <c r="B560" s="1">
        <v>2</v>
      </c>
      <c r="C560" s="1" t="s">
        <v>5</v>
      </c>
      <c r="D560" s="1" t="s">
        <v>6</v>
      </c>
      <c r="E560" s="1">
        <v>1.7458462715148899</v>
      </c>
      <c r="F560" s="1">
        <f>Tabla1[[#This Row],[tiempo]]/(IF(Tabla1[[#This Row],[tamanho]]=$I$3,$L$3,IF(Tabla1[[#This Row],[tamanho]]=$I$4,$L$4,IF(Tabla1[[#This Row],[tamanho]]=$I$5,$L$5,IF(Tabla1[[#This Row],[tamanho]]=$I$6,$L$6,0))))*IF(C560="8_1",9,25))</f>
        <v>1.0570008993865041E-6</v>
      </c>
    </row>
    <row r="561" spans="1:6" ht="12.75" x14ac:dyDescent="0.2">
      <c r="A561" s="1">
        <v>23</v>
      </c>
      <c r="B561" s="1">
        <v>2</v>
      </c>
      <c r="C561" s="1" t="s">
        <v>7</v>
      </c>
      <c r="D561" s="1" t="s">
        <v>6</v>
      </c>
      <c r="E561" s="1">
        <v>1.85073518753051</v>
      </c>
      <c r="F561" s="1">
        <f>Tabla1[[#This Row],[tiempo]]/(IF(Tabla1[[#This Row],[tamanho]]=$I$3,$L$3,IF(Tabla1[[#This Row],[tamanho]]=$I$4,$L$4,IF(Tabla1[[#This Row],[tamanho]]=$I$5,$L$5,IF(Tabla1[[#This Row],[tamanho]]=$I$6,$L$6,0))))*IF(C561="8_1",9,25))</f>
        <v>4.0338165179771579E-7</v>
      </c>
    </row>
    <row r="562" spans="1:6" ht="12.75" x14ac:dyDescent="0.2">
      <c r="A562" s="1">
        <v>23</v>
      </c>
      <c r="B562" s="1">
        <v>2</v>
      </c>
      <c r="C562" s="1" t="s">
        <v>8</v>
      </c>
      <c r="D562" s="1" t="s">
        <v>6</v>
      </c>
      <c r="E562" s="1">
        <v>1.87212657928466</v>
      </c>
      <c r="F562" s="1">
        <f>Tabla1[[#This Row],[tiempo]]/(IF(Tabla1[[#This Row],[tamanho]]=$I$3,$L$3,IF(Tabla1[[#This Row],[tamanho]]=$I$4,$L$4,IF(Tabla1[[#This Row],[tamanho]]=$I$5,$L$5,IF(Tabla1[[#This Row],[tamanho]]=$I$6,$L$6,0))))*IF(C562="8_1",9,25))</f>
        <v>4.0804406649549588E-7</v>
      </c>
    </row>
    <row r="563" spans="1:6" ht="12.75" x14ac:dyDescent="0.2">
      <c r="A563" s="1">
        <v>23</v>
      </c>
      <c r="B563" s="1">
        <v>2</v>
      </c>
      <c r="C563" s="1" t="s">
        <v>5</v>
      </c>
      <c r="D563" s="1" t="s">
        <v>9</v>
      </c>
      <c r="E563" s="1">
        <v>1.6622064113616899</v>
      </c>
      <c r="F563" s="1">
        <f>Tabla1[[#This Row],[tiempo]]/(IF(Tabla1[[#This Row],[tamanho]]=$I$3,$L$3,IF(Tabla1[[#This Row],[tamanho]]=$I$4,$L$4,IF(Tabla1[[#This Row],[tamanho]]=$I$5,$L$5,IF(Tabla1[[#This Row],[tamanho]]=$I$6,$L$6,0))))*IF(C563="8_1",9,25))</f>
        <v>1.0063621868899096E-6</v>
      </c>
    </row>
    <row r="564" spans="1:6" ht="12.75" x14ac:dyDescent="0.2">
      <c r="A564" s="1">
        <v>23</v>
      </c>
      <c r="B564" s="1">
        <v>2</v>
      </c>
      <c r="C564" s="1" t="s">
        <v>7</v>
      </c>
      <c r="D564" s="1" t="s">
        <v>9</v>
      </c>
      <c r="E564" s="1">
        <v>1.85660576820373</v>
      </c>
      <c r="F564" s="1">
        <f>Tabla1[[#This Row],[tiempo]]/(IF(Tabla1[[#This Row],[tamanho]]=$I$3,$L$3,IF(Tabla1[[#This Row],[tamanho]]=$I$4,$L$4,IF(Tabla1[[#This Row],[tamanho]]=$I$5,$L$5,IF(Tabla1[[#This Row],[tamanho]]=$I$6,$L$6,0))))*IF(C564="8_1",9,25))</f>
        <v>4.0466118900267652E-7</v>
      </c>
    </row>
    <row r="565" spans="1:6" ht="12.75" x14ac:dyDescent="0.2">
      <c r="A565" s="1">
        <v>23</v>
      </c>
      <c r="B565" s="1">
        <v>2</v>
      </c>
      <c r="C565" s="1" t="s">
        <v>8</v>
      </c>
      <c r="D565" s="1" t="s">
        <v>9</v>
      </c>
      <c r="E565" s="1">
        <v>1.8818733692169101</v>
      </c>
      <c r="F565" s="1">
        <f>Tabla1[[#This Row],[tiempo]]/(IF(Tabla1[[#This Row],[tamanho]]=$I$3,$L$3,IF(Tabla1[[#This Row],[tamanho]]=$I$4,$L$4,IF(Tabla1[[#This Row],[tamanho]]=$I$5,$L$5,IF(Tabla1[[#This Row],[tamanho]]=$I$6,$L$6,0))))*IF(C565="8_1",9,25))</f>
        <v>4.1016845265786335E-7</v>
      </c>
    </row>
    <row r="566" spans="1:6" ht="12.75" x14ac:dyDescent="0.2">
      <c r="A566" s="1">
        <v>23</v>
      </c>
      <c r="B566" s="1">
        <v>3</v>
      </c>
      <c r="C566" s="1" t="s">
        <v>5</v>
      </c>
      <c r="D566" s="1" t="s">
        <v>6</v>
      </c>
      <c r="E566" s="1">
        <v>3.82930207252502</v>
      </c>
      <c r="F566" s="1">
        <f>Tabla1[[#This Row],[tiempo]]/(IF(Tabla1[[#This Row],[tamanho]]=$I$3,$L$3,IF(Tabla1[[#This Row],[tamanho]]=$I$4,$L$4,IF(Tabla1[[#This Row],[tamanho]]=$I$5,$L$5,IF(Tabla1[[#This Row],[tamanho]]=$I$6,$L$6,0))))*IF(C566="8_1",9,25))</f>
        <v>1.0295823818782575E-6</v>
      </c>
    </row>
    <row r="567" spans="1:6" ht="12.75" x14ac:dyDescent="0.2">
      <c r="A567" s="1">
        <v>23</v>
      </c>
      <c r="B567" s="1">
        <v>3</v>
      </c>
      <c r="C567" s="1" t="s">
        <v>7</v>
      </c>
      <c r="D567" s="1" t="s">
        <v>6</v>
      </c>
      <c r="E567" s="1">
        <v>4.2409036159515301</v>
      </c>
      <c r="F567" s="1">
        <f>Tabla1[[#This Row],[tiempo]]/(IF(Tabla1[[#This Row],[tamanho]]=$I$3,$L$3,IF(Tabla1[[#This Row],[tamanho]]=$I$4,$L$4,IF(Tabla1[[#This Row],[tamanho]]=$I$5,$L$5,IF(Tabla1[[#This Row],[tamanho]]=$I$6,$L$6,0))))*IF(C567="8_1",9,25))</f>
        <v>4.1048980803057981E-7</v>
      </c>
    </row>
    <row r="568" spans="1:6" ht="12.75" x14ac:dyDescent="0.2">
      <c r="A568" s="1">
        <v>23</v>
      </c>
      <c r="B568" s="1">
        <v>3</v>
      </c>
      <c r="C568" s="1" t="s">
        <v>8</v>
      </c>
      <c r="D568" s="1" t="s">
        <v>6</v>
      </c>
      <c r="E568" s="1">
        <v>4.2519464492797798</v>
      </c>
      <c r="F568" s="1">
        <f>Tabla1[[#This Row],[tiempo]]/(IF(Tabla1[[#This Row],[tamanho]]=$I$3,$L$3,IF(Tabla1[[#This Row],[tamanho]]=$I$4,$L$4,IF(Tabla1[[#This Row],[tamanho]]=$I$5,$L$5,IF(Tabla1[[#This Row],[tamanho]]=$I$6,$L$6,0))))*IF(C568="8_1",9,25))</f>
        <v>4.1155867706027834E-7</v>
      </c>
    </row>
    <row r="569" spans="1:6" ht="12.75" x14ac:dyDescent="0.2">
      <c r="A569" s="1">
        <v>23</v>
      </c>
      <c r="B569" s="1">
        <v>3</v>
      </c>
      <c r="C569" s="1" t="s">
        <v>5</v>
      </c>
      <c r="D569" s="1" t="s">
        <v>9</v>
      </c>
      <c r="E569" s="1">
        <v>3.7837541103363002</v>
      </c>
      <c r="F569" s="1">
        <f>Tabla1[[#This Row],[tiempo]]/(IF(Tabla1[[#This Row],[tamanho]]=$I$3,$L$3,IF(Tabla1[[#This Row],[tamanho]]=$I$4,$L$4,IF(Tabla1[[#This Row],[tamanho]]=$I$5,$L$5,IF(Tabla1[[#This Row],[tamanho]]=$I$6,$L$6,0))))*IF(C569="8_1",9,25))</f>
        <v>1.0173359258630912E-6</v>
      </c>
    </row>
    <row r="570" spans="1:6" ht="12.75" x14ac:dyDescent="0.2">
      <c r="A570" s="1">
        <v>23</v>
      </c>
      <c r="B570" s="1">
        <v>3</v>
      </c>
      <c r="C570" s="1" t="s">
        <v>7</v>
      </c>
      <c r="D570" s="1" t="s">
        <v>9</v>
      </c>
      <c r="E570" s="1">
        <v>4.23471975326538</v>
      </c>
      <c r="F570" s="1">
        <f>Tabla1[[#This Row],[tiempo]]/(IF(Tabla1[[#This Row],[tamanho]]=$I$3,$L$3,IF(Tabla1[[#This Row],[tamanho]]=$I$4,$L$4,IF(Tabla1[[#This Row],[tamanho]]=$I$5,$L$5,IF(Tabla1[[#This Row],[tamanho]]=$I$6,$L$6,0))))*IF(C570="8_1",9,25))</f>
        <v>4.0989125337411997E-7</v>
      </c>
    </row>
    <row r="571" spans="1:6" ht="12.75" x14ac:dyDescent="0.2">
      <c r="A571" s="1">
        <v>23</v>
      </c>
      <c r="B571" s="1">
        <v>3</v>
      </c>
      <c r="C571" s="1" t="s">
        <v>8</v>
      </c>
      <c r="D571" s="1" t="s">
        <v>9</v>
      </c>
      <c r="E571" s="1">
        <v>4.2763028144836399</v>
      </c>
      <c r="F571" s="1">
        <f>Tabla1[[#This Row],[tiempo]]/(IF(Tabla1[[#This Row],[tamanho]]=$I$3,$L$3,IF(Tabla1[[#This Row],[tamanho]]=$I$4,$L$4,IF(Tabla1[[#This Row],[tamanho]]=$I$5,$L$5,IF(Tabla1[[#This Row],[tamanho]]=$I$6,$L$6,0))))*IF(C571="8_1",9,25))</f>
        <v>4.139162028571979E-7</v>
      </c>
    </row>
    <row r="572" spans="1:6" ht="12.75" x14ac:dyDescent="0.2">
      <c r="A572" s="1">
        <v>23</v>
      </c>
      <c r="B572" s="1">
        <v>4</v>
      </c>
      <c r="C572" s="1" t="s">
        <v>5</v>
      </c>
      <c r="D572" s="1" t="s">
        <v>6</v>
      </c>
      <c r="E572" s="1">
        <v>6.8316764831542898</v>
      </c>
      <c r="F572" s="1">
        <f>Tabla1[[#This Row],[tiempo]]/(IF(Tabla1[[#This Row],[tamanho]]=$I$3,$L$3,IF(Tabla1[[#This Row],[tamanho]]=$I$4,$L$4,IF(Tabla1[[#This Row],[tamanho]]=$I$5,$L$5,IF(Tabla1[[#This Row],[tamanho]]=$I$6,$L$6,0))))*IF(C572="8_1",9,25))</f>
        <v>1.0316282548384841E-6</v>
      </c>
    </row>
    <row r="573" spans="1:6" ht="12.75" x14ac:dyDescent="0.2">
      <c r="A573" s="1">
        <v>23</v>
      </c>
      <c r="B573" s="1">
        <v>4</v>
      </c>
      <c r="C573" s="1" t="s">
        <v>7</v>
      </c>
      <c r="D573" s="1" t="s">
        <v>6</v>
      </c>
      <c r="E573" s="1">
        <v>7.6245415210723797</v>
      </c>
      <c r="F573" s="1">
        <f>Tabla1[[#This Row],[tiempo]]/(IF(Tabla1[[#This Row],[tamanho]]=$I$3,$L$3,IF(Tabla1[[#This Row],[tamanho]]=$I$4,$L$4,IF(Tabla1[[#This Row],[tamanho]]=$I$5,$L$5,IF(Tabla1[[#This Row],[tamanho]]=$I$6,$L$6,0))))*IF(C573="8_1",9,25))</f>
        <v>4.1448819975305234E-7</v>
      </c>
    </row>
    <row r="574" spans="1:6" ht="12.75" x14ac:dyDescent="0.2">
      <c r="A574" s="1">
        <v>23</v>
      </c>
      <c r="B574" s="1">
        <v>4</v>
      </c>
      <c r="C574" s="1" t="s">
        <v>8</v>
      </c>
      <c r="D574" s="1" t="s">
        <v>6</v>
      </c>
      <c r="E574" s="1">
        <v>7.8270530700683496</v>
      </c>
      <c r="F574" s="1">
        <f>Tabla1[[#This Row],[tiempo]]/(IF(Tabla1[[#This Row],[tamanho]]=$I$3,$L$3,IF(Tabla1[[#This Row],[tamanho]]=$I$4,$L$4,IF(Tabla1[[#This Row],[tamanho]]=$I$5,$L$5,IF(Tabla1[[#This Row],[tamanho]]=$I$6,$L$6,0))))*IF(C574="8_1",9,25))</f>
        <v>4.2549720890338036E-7</v>
      </c>
    </row>
    <row r="575" spans="1:6" ht="12.75" x14ac:dyDescent="0.2">
      <c r="A575" s="1">
        <v>23</v>
      </c>
      <c r="B575" s="1">
        <v>4</v>
      </c>
      <c r="C575" s="1" t="s">
        <v>5</v>
      </c>
      <c r="D575" s="1" t="s">
        <v>9</v>
      </c>
      <c r="E575" s="1">
        <v>6.7791967391967702</v>
      </c>
      <c r="F575" s="1">
        <f>Tabla1[[#This Row],[tiempo]]/(IF(Tabla1[[#This Row],[tamanho]]=$I$3,$L$3,IF(Tabla1[[#This Row],[tamanho]]=$I$4,$L$4,IF(Tabla1[[#This Row],[tamanho]]=$I$5,$L$5,IF(Tabla1[[#This Row],[tamanho]]=$I$6,$L$6,0))))*IF(C575="8_1",9,25))</f>
        <v>1.0237034670054003E-6</v>
      </c>
    </row>
    <row r="576" spans="1:6" ht="12.75" x14ac:dyDescent="0.2">
      <c r="A576" s="1">
        <v>23</v>
      </c>
      <c r="B576" s="1">
        <v>4</v>
      </c>
      <c r="C576" s="1" t="s">
        <v>7</v>
      </c>
      <c r="D576" s="1" t="s">
        <v>9</v>
      </c>
      <c r="E576" s="1">
        <v>7.66790676116943</v>
      </c>
      <c r="F576" s="1">
        <f>Tabla1[[#This Row],[tiempo]]/(IF(Tabla1[[#This Row],[tamanho]]=$I$3,$L$3,IF(Tabla1[[#This Row],[tamanho]]=$I$4,$L$4,IF(Tabla1[[#This Row],[tamanho]]=$I$5,$L$5,IF(Tabla1[[#This Row],[tamanho]]=$I$6,$L$6,0))))*IF(C576="8_1",9,25))</f>
        <v>4.1684563727896896E-7</v>
      </c>
    </row>
    <row r="577" spans="1:6" ht="12.75" x14ac:dyDescent="0.2">
      <c r="A577" s="1">
        <v>23</v>
      </c>
      <c r="B577" s="1">
        <v>4</v>
      </c>
      <c r="C577" s="1" t="s">
        <v>8</v>
      </c>
      <c r="D577" s="1" t="s">
        <v>9</v>
      </c>
      <c r="E577" s="1">
        <v>7.72552037239074</v>
      </c>
      <c r="F577" s="1">
        <f>Tabla1[[#This Row],[tiempo]]/(IF(Tabla1[[#This Row],[tamanho]]=$I$3,$L$3,IF(Tabla1[[#This Row],[tamanho]]=$I$4,$L$4,IF(Tabla1[[#This Row],[tamanho]]=$I$5,$L$5,IF(Tabla1[[#This Row],[tamanho]]=$I$6,$L$6,0))))*IF(C577="8_1",9,25))</f>
        <v>4.1997765012595706E-7</v>
      </c>
    </row>
    <row r="578" spans="1:6" ht="12.75" x14ac:dyDescent="0.2">
      <c r="A578" s="1">
        <v>24</v>
      </c>
      <c r="B578" s="1">
        <v>1</v>
      </c>
      <c r="C578" s="1" t="s">
        <v>5</v>
      </c>
      <c r="D578" s="1" t="s">
        <v>6</v>
      </c>
      <c r="E578" s="1">
        <v>0.40391278266906699</v>
      </c>
      <c r="F578" s="1">
        <f>Tabla1[[#This Row],[tiempo]]/(IF(Tabla1[[#This Row],[tamanho]]=$I$3,$L$3,IF(Tabla1[[#This Row],[tamanho]]=$I$4,$L$4,IF(Tabla1[[#This Row],[tamanho]]=$I$5,$L$5,IF(Tabla1[[#This Row],[tamanho]]=$I$6,$L$6,0))))*IF(C578="8_1",9,25))</f>
        <v>1.6645969390727634E-6</v>
      </c>
    </row>
    <row r="579" spans="1:6" ht="12.75" x14ac:dyDescent="0.2">
      <c r="A579" s="1">
        <v>24</v>
      </c>
      <c r="B579" s="1">
        <v>1</v>
      </c>
      <c r="C579" s="1" t="s">
        <v>7</v>
      </c>
      <c r="D579" s="1" t="s">
        <v>6</v>
      </c>
      <c r="E579" s="1">
        <v>0.45491647720336897</v>
      </c>
      <c r="F579" s="1">
        <f>Tabla1[[#This Row],[tiempo]]/(IF(Tabla1[[#This Row],[tamanho]]=$I$3,$L$3,IF(Tabla1[[#This Row],[tamanho]]=$I$4,$L$4,IF(Tabla1[[#This Row],[tamanho]]=$I$5,$L$5,IF(Tabla1[[#This Row],[tamanho]]=$I$6,$L$6,0))))*IF(C579="8_1",9,25))</f>
        <v>6.7492522859444235E-7</v>
      </c>
    </row>
    <row r="580" spans="1:6" ht="12.75" x14ac:dyDescent="0.2">
      <c r="A580" s="1">
        <v>24</v>
      </c>
      <c r="B580" s="1">
        <v>1</v>
      </c>
      <c r="C580" s="1" t="s">
        <v>8</v>
      </c>
      <c r="D580" s="1" t="s">
        <v>6</v>
      </c>
      <c r="E580" s="1">
        <v>0.45715284347534102</v>
      </c>
      <c r="F580" s="1">
        <f>Tabla1[[#This Row],[tiempo]]/(IF(Tabla1[[#This Row],[tamanho]]=$I$3,$L$3,IF(Tabla1[[#This Row],[tamanho]]=$I$4,$L$4,IF(Tabla1[[#This Row],[tamanho]]=$I$5,$L$5,IF(Tabla1[[#This Row],[tamanho]]=$I$6,$L$6,0))))*IF(C580="8_1",9,25))</f>
        <v>6.7824315637452767E-7</v>
      </c>
    </row>
    <row r="581" spans="1:6" ht="12.75" x14ac:dyDescent="0.2">
      <c r="A581" s="1">
        <v>24</v>
      </c>
      <c r="B581" s="1">
        <v>1</v>
      </c>
      <c r="C581" s="1" t="s">
        <v>5</v>
      </c>
      <c r="D581" s="1" t="s">
        <v>9</v>
      </c>
      <c r="E581" s="1">
        <v>0.40518021583557101</v>
      </c>
      <c r="F581" s="1">
        <f>Tabla1[[#This Row],[tiempo]]/(IF(Tabla1[[#This Row],[tamanho]]=$I$3,$L$3,IF(Tabla1[[#This Row],[tamanho]]=$I$4,$L$4,IF(Tabla1[[#This Row],[tamanho]]=$I$5,$L$5,IF(Tabla1[[#This Row],[tamanho]]=$I$6,$L$6,0))))*IF(C581="8_1",9,25))</f>
        <v>1.6698202582148331E-6</v>
      </c>
    </row>
    <row r="582" spans="1:6" ht="12.75" x14ac:dyDescent="0.2">
      <c r="A582" s="1">
        <v>24</v>
      </c>
      <c r="B582" s="1">
        <v>1</v>
      </c>
      <c r="C582" s="1" t="s">
        <v>7</v>
      </c>
      <c r="D582" s="1" t="s">
        <v>9</v>
      </c>
      <c r="E582" s="1">
        <v>0.45385956764221103</v>
      </c>
      <c r="F582" s="1">
        <f>Tabla1[[#This Row],[tiempo]]/(IF(Tabla1[[#This Row],[tamanho]]=$I$3,$L$3,IF(Tabla1[[#This Row],[tamanho]]=$I$4,$L$4,IF(Tabla1[[#This Row],[tamanho]]=$I$5,$L$5,IF(Tabla1[[#This Row],[tamanho]]=$I$6,$L$6,0))))*IF(C582="8_1",9,25))</f>
        <v>6.7335717168088876E-7</v>
      </c>
    </row>
    <row r="583" spans="1:6" ht="12.75" x14ac:dyDescent="0.2">
      <c r="A583" s="1">
        <v>24</v>
      </c>
      <c r="B583" s="1">
        <v>1</v>
      </c>
      <c r="C583" s="1" t="s">
        <v>8</v>
      </c>
      <c r="D583" s="1" t="s">
        <v>9</v>
      </c>
      <c r="E583" s="1">
        <v>0.45398402214050199</v>
      </c>
      <c r="F583" s="1">
        <f>Tabla1[[#This Row],[tiempo]]/(IF(Tabla1[[#This Row],[tamanho]]=$I$3,$L$3,IF(Tabla1[[#This Row],[tamanho]]=$I$4,$L$4,IF(Tabla1[[#This Row],[tamanho]]=$I$5,$L$5,IF(Tabla1[[#This Row],[tamanho]]=$I$6,$L$6,0))))*IF(C583="8_1",9,25))</f>
        <v>6.7354181542302133E-7</v>
      </c>
    </row>
    <row r="584" spans="1:6" ht="12.75" x14ac:dyDescent="0.2">
      <c r="A584" s="1">
        <v>24</v>
      </c>
      <c r="B584" s="1">
        <v>2</v>
      </c>
      <c r="C584" s="1" t="s">
        <v>5</v>
      </c>
      <c r="D584" s="1" t="s">
        <v>6</v>
      </c>
      <c r="E584" s="1">
        <v>1.66719675064086</v>
      </c>
      <c r="F584" s="1">
        <f>Tabla1[[#This Row],[tiempo]]/(IF(Tabla1[[#This Row],[tamanho]]=$I$3,$L$3,IF(Tabla1[[#This Row],[tamanho]]=$I$4,$L$4,IF(Tabla1[[#This Row],[tamanho]]=$I$5,$L$5,IF(Tabla1[[#This Row],[tamanho]]=$I$6,$L$6,0))))*IF(C584="8_1",9,25))</f>
        <v>1.009383525705583E-6</v>
      </c>
    </row>
    <row r="585" spans="1:6" ht="12.75" x14ac:dyDescent="0.2">
      <c r="A585" s="1">
        <v>24</v>
      </c>
      <c r="B585" s="1">
        <v>2</v>
      </c>
      <c r="C585" s="1" t="s">
        <v>7</v>
      </c>
      <c r="D585" s="1" t="s">
        <v>6</v>
      </c>
      <c r="E585" s="1">
        <v>1.8567471504211399</v>
      </c>
      <c r="F585" s="1">
        <f>Tabla1[[#This Row],[tiempo]]/(IF(Tabla1[[#This Row],[tamanho]]=$I$3,$L$3,IF(Tabla1[[#This Row],[tamanho]]=$I$4,$L$4,IF(Tabla1[[#This Row],[tamanho]]=$I$5,$L$5,IF(Tabla1[[#This Row],[tamanho]]=$I$6,$L$6,0))))*IF(C585="8_1",9,25))</f>
        <v>4.0469200432016651E-7</v>
      </c>
    </row>
    <row r="586" spans="1:6" ht="12.75" x14ac:dyDescent="0.2">
      <c r="A586" s="1">
        <v>24</v>
      </c>
      <c r="B586" s="1">
        <v>2</v>
      </c>
      <c r="C586" s="1" t="s">
        <v>8</v>
      </c>
      <c r="D586" s="1" t="s">
        <v>6</v>
      </c>
      <c r="E586" s="1">
        <v>1.86324906349182</v>
      </c>
      <c r="F586" s="1">
        <f>Tabla1[[#This Row],[tiempo]]/(IF(Tabla1[[#This Row],[tamanho]]=$I$3,$L$3,IF(Tabla1[[#This Row],[tamanho]]=$I$4,$L$4,IF(Tabla1[[#This Row],[tamanho]]=$I$5,$L$5,IF(Tabla1[[#This Row],[tamanho]]=$I$6,$L$6,0))))*IF(C586="8_1",9,25))</f>
        <v>4.0610914516882335E-7</v>
      </c>
    </row>
    <row r="587" spans="1:6" ht="12.75" x14ac:dyDescent="0.2">
      <c r="A587" s="1">
        <v>24</v>
      </c>
      <c r="B587" s="1">
        <v>2</v>
      </c>
      <c r="C587" s="1" t="s">
        <v>5</v>
      </c>
      <c r="D587" s="1" t="s">
        <v>9</v>
      </c>
      <c r="E587" s="1">
        <v>1.66366982460021</v>
      </c>
      <c r="F587" s="1">
        <f>Tabla1[[#This Row],[tiempo]]/(IF(Tabla1[[#This Row],[tamanho]]=$I$3,$L$3,IF(Tabla1[[#This Row],[tamanho]]=$I$4,$L$4,IF(Tabla1[[#This Row],[tamanho]]=$I$5,$L$5,IF(Tabla1[[#This Row],[tamanho]]=$I$6,$L$6,0))))*IF(C587="8_1",9,25))</f>
        <v>1.0072481922241293E-6</v>
      </c>
    </row>
    <row r="588" spans="1:6" ht="12.75" x14ac:dyDescent="0.2">
      <c r="A588" s="1">
        <v>24</v>
      </c>
      <c r="B588" s="1">
        <v>2</v>
      </c>
      <c r="C588" s="1" t="s">
        <v>7</v>
      </c>
      <c r="D588" s="1" t="s">
        <v>9</v>
      </c>
      <c r="E588" s="1">
        <v>1.8604645729064899</v>
      </c>
      <c r="F588" s="1">
        <f>Tabla1[[#This Row],[tiempo]]/(IF(Tabla1[[#This Row],[tamanho]]=$I$3,$L$3,IF(Tabla1[[#This Row],[tamanho]]=$I$4,$L$4,IF(Tabla1[[#This Row],[tamanho]]=$I$5,$L$5,IF(Tabla1[[#This Row],[tamanho]]=$I$6,$L$6,0))))*IF(C588="8_1",9,25))</f>
        <v>4.0550224450616054E-7</v>
      </c>
    </row>
    <row r="589" spans="1:6" ht="12.75" x14ac:dyDescent="0.2">
      <c r="A589" s="1">
        <v>24</v>
      </c>
      <c r="B589" s="1">
        <v>2</v>
      </c>
      <c r="C589" s="1" t="s">
        <v>8</v>
      </c>
      <c r="D589" s="1" t="s">
        <v>9</v>
      </c>
      <c r="E589" s="1">
        <v>1.8894569873809799</v>
      </c>
      <c r="F589" s="1">
        <f>Tabla1[[#This Row],[tiempo]]/(IF(Tabla1[[#This Row],[tamanho]]=$I$3,$L$3,IF(Tabla1[[#This Row],[tamanho]]=$I$4,$L$4,IF(Tabla1[[#This Row],[tamanho]]=$I$5,$L$5,IF(Tabla1[[#This Row],[tamanho]]=$I$6,$L$6,0))))*IF(C589="8_1",9,25))</f>
        <v>4.1182135926613267E-7</v>
      </c>
    </row>
    <row r="590" spans="1:6" ht="12.75" x14ac:dyDescent="0.2">
      <c r="A590" s="1">
        <v>24</v>
      </c>
      <c r="B590" s="1">
        <v>3</v>
      </c>
      <c r="C590" s="1" t="s">
        <v>5</v>
      </c>
      <c r="D590" s="1" t="s">
        <v>6</v>
      </c>
      <c r="E590" s="1">
        <v>3.8074319362640301</v>
      </c>
      <c r="F590" s="1">
        <f>Tabla1[[#This Row],[tiempo]]/(IF(Tabla1[[#This Row],[tamanho]]=$I$3,$L$3,IF(Tabla1[[#This Row],[tamanho]]=$I$4,$L$4,IF(Tabla1[[#This Row],[tamanho]]=$I$5,$L$5,IF(Tabla1[[#This Row],[tamanho]]=$I$6,$L$6,0))))*IF(C590="8_1",9,25))</f>
        <v>1.0237021701432914E-6</v>
      </c>
    </row>
    <row r="591" spans="1:6" ht="12.75" x14ac:dyDescent="0.2">
      <c r="A591" s="1">
        <v>24</v>
      </c>
      <c r="B591" s="1">
        <v>3</v>
      </c>
      <c r="C591" s="1" t="s">
        <v>7</v>
      </c>
      <c r="D591" s="1" t="s">
        <v>6</v>
      </c>
      <c r="E591" s="1">
        <v>4.2491059303283603</v>
      </c>
      <c r="F591" s="1">
        <f>Tabla1[[#This Row],[tiempo]]/(IF(Tabla1[[#This Row],[tamanho]]=$I$3,$L$3,IF(Tabla1[[#This Row],[tamanho]]=$I$4,$L$4,IF(Tabla1[[#This Row],[tamanho]]=$I$5,$L$5,IF(Tabla1[[#This Row],[tamanho]]=$I$6,$L$6,0))))*IF(C591="8_1",9,25))</f>
        <v>4.1128373469311637E-7</v>
      </c>
    </row>
    <row r="592" spans="1:6" ht="12.75" x14ac:dyDescent="0.2">
      <c r="A592" s="1">
        <v>24</v>
      </c>
      <c r="B592" s="1">
        <v>3</v>
      </c>
      <c r="C592" s="1" t="s">
        <v>8</v>
      </c>
      <c r="D592" s="1" t="s">
        <v>6</v>
      </c>
      <c r="E592" s="1">
        <v>4.2469198703765798</v>
      </c>
      <c r="F592" s="1">
        <f>Tabla1[[#This Row],[tiempo]]/(IF(Tabla1[[#This Row],[tamanho]]=$I$3,$L$3,IF(Tabla1[[#This Row],[tamanho]]=$I$4,$L$4,IF(Tabla1[[#This Row],[tamanho]]=$I$5,$L$5,IF(Tabla1[[#This Row],[tamanho]]=$I$6,$L$6,0))))*IF(C592="8_1",9,25))</f>
        <v>4.1107213937966136E-7</v>
      </c>
    </row>
    <row r="593" spans="1:6" ht="12.75" x14ac:dyDescent="0.2">
      <c r="A593" s="1">
        <v>24</v>
      </c>
      <c r="B593" s="1">
        <v>3</v>
      </c>
      <c r="C593" s="1" t="s">
        <v>5</v>
      </c>
      <c r="D593" s="1" t="s">
        <v>9</v>
      </c>
      <c r="E593" s="1">
        <v>3.7709293365478498</v>
      </c>
      <c r="F593" s="1">
        <f>Tabla1[[#This Row],[tiempo]]/(IF(Tabla1[[#This Row],[tamanho]]=$I$3,$L$3,IF(Tabla1[[#This Row],[tamanho]]=$I$4,$L$4,IF(Tabla1[[#This Row],[tamanho]]=$I$5,$L$5,IF(Tabla1[[#This Row],[tamanho]]=$I$6,$L$6,0))))*IF(C593="8_1",9,25))</f>
        <v>1.0138877358550734E-6</v>
      </c>
    </row>
    <row r="594" spans="1:6" ht="12.75" x14ac:dyDescent="0.2">
      <c r="A594" s="1">
        <v>24</v>
      </c>
      <c r="B594" s="1">
        <v>3</v>
      </c>
      <c r="C594" s="1" t="s">
        <v>7</v>
      </c>
      <c r="D594" s="1" t="s">
        <v>9</v>
      </c>
      <c r="E594" s="1">
        <v>4.2716596126556396</v>
      </c>
      <c r="F594" s="1">
        <f>Tabla1[[#This Row],[tiempo]]/(IF(Tabla1[[#This Row],[tamanho]]=$I$3,$L$3,IF(Tabla1[[#This Row],[tamanho]]=$I$4,$L$4,IF(Tabla1[[#This Row],[tamanho]]=$I$5,$L$5,IF(Tabla1[[#This Row],[tamanho]]=$I$6,$L$6,0))))*IF(C594="8_1",9,25))</f>
        <v>4.134667733960203E-7</v>
      </c>
    </row>
    <row r="595" spans="1:6" ht="12.75" x14ac:dyDescent="0.2">
      <c r="A595" s="1">
        <v>24</v>
      </c>
      <c r="B595" s="1">
        <v>3</v>
      </c>
      <c r="C595" s="1" t="s">
        <v>8</v>
      </c>
      <c r="D595" s="1" t="s">
        <v>9</v>
      </c>
      <c r="E595" s="1">
        <v>4.2773780822753897</v>
      </c>
      <c r="F595" s="1">
        <f>Tabla1[[#This Row],[tiempo]]/(IF(Tabla1[[#This Row],[tamanho]]=$I$3,$L$3,IF(Tabla1[[#This Row],[tamanho]]=$I$4,$L$4,IF(Tabla1[[#This Row],[tamanho]]=$I$5,$L$5,IF(Tabla1[[#This Row],[tamanho]]=$I$6,$L$6,0))))*IF(C595="8_1",9,25))</f>
        <v>4.1402028125873395E-7</v>
      </c>
    </row>
    <row r="596" spans="1:6" ht="12.75" x14ac:dyDescent="0.2">
      <c r="A596" s="1">
        <v>24</v>
      </c>
      <c r="B596" s="1">
        <v>4</v>
      </c>
      <c r="C596" s="1" t="s">
        <v>5</v>
      </c>
      <c r="D596" s="1" t="s">
        <v>6</v>
      </c>
      <c r="E596" s="1">
        <v>6.8669705390930096</v>
      </c>
      <c r="F596" s="1">
        <f>Tabla1[[#This Row],[tiempo]]/(IF(Tabla1[[#This Row],[tamanho]]=$I$3,$L$3,IF(Tabla1[[#This Row],[tamanho]]=$I$4,$L$4,IF(Tabla1[[#This Row],[tamanho]]=$I$5,$L$5,IF(Tabla1[[#This Row],[tamanho]]=$I$6,$L$6,0))))*IF(C596="8_1",9,25))</f>
        <v>1.0369578903128827E-6</v>
      </c>
    </row>
    <row r="597" spans="1:6" ht="12.75" x14ac:dyDescent="0.2">
      <c r="A597" s="1">
        <v>24</v>
      </c>
      <c r="B597" s="1">
        <v>4</v>
      </c>
      <c r="C597" s="1" t="s">
        <v>7</v>
      </c>
      <c r="D597" s="1" t="s">
        <v>6</v>
      </c>
      <c r="E597" s="1">
        <v>7.5550436973571697</v>
      </c>
      <c r="F597" s="1">
        <f>Tabla1[[#This Row],[tiempo]]/(IF(Tabla1[[#This Row],[tamanho]]=$I$3,$L$3,IF(Tabla1[[#This Row],[tamanho]]=$I$4,$L$4,IF(Tabla1[[#This Row],[tamanho]]=$I$5,$L$5,IF(Tabla1[[#This Row],[tamanho]]=$I$6,$L$6,0))))*IF(C597="8_1",9,25))</f>
        <v>4.1071013286747509E-7</v>
      </c>
    </row>
    <row r="598" spans="1:6" ht="12.75" x14ac:dyDescent="0.2">
      <c r="A598" s="1">
        <v>24</v>
      </c>
      <c r="B598" s="1">
        <v>4</v>
      </c>
      <c r="C598" s="1" t="s">
        <v>8</v>
      </c>
      <c r="D598" s="1" t="s">
        <v>6</v>
      </c>
      <c r="E598" s="1">
        <v>7.5799155235290501</v>
      </c>
      <c r="F598" s="1">
        <f>Tabla1[[#This Row],[tiempo]]/(IF(Tabla1[[#This Row],[tamanho]]=$I$3,$L$3,IF(Tabla1[[#This Row],[tamanho]]=$I$4,$L$4,IF(Tabla1[[#This Row],[tamanho]]=$I$5,$L$5,IF(Tabla1[[#This Row],[tamanho]]=$I$6,$L$6,0))))*IF(C598="8_1",9,25))</f>
        <v>4.1206222445567902E-7</v>
      </c>
    </row>
    <row r="599" spans="1:6" ht="12.75" x14ac:dyDescent="0.2">
      <c r="A599" s="1">
        <v>24</v>
      </c>
      <c r="B599" s="1">
        <v>4</v>
      </c>
      <c r="C599" s="1" t="s">
        <v>5</v>
      </c>
      <c r="D599" s="1" t="s">
        <v>9</v>
      </c>
      <c r="E599" s="1">
        <v>6.7703592777252197</v>
      </c>
      <c r="F599" s="1">
        <f>Tabla1[[#This Row],[tiempo]]/(IF(Tabla1[[#This Row],[tamanho]]=$I$3,$L$3,IF(Tabla1[[#This Row],[tamanho]]=$I$4,$L$4,IF(Tabla1[[#This Row],[tamanho]]=$I$5,$L$5,IF(Tabla1[[#This Row],[tamanho]]=$I$6,$L$6,0))))*IF(C599="8_1",9,25))</f>
        <v>1.0223689519741953E-6</v>
      </c>
    </row>
    <row r="600" spans="1:6" ht="12.75" x14ac:dyDescent="0.2">
      <c r="A600" s="1">
        <v>24</v>
      </c>
      <c r="B600" s="1">
        <v>4</v>
      </c>
      <c r="C600" s="1" t="s">
        <v>7</v>
      </c>
      <c r="D600" s="1" t="s">
        <v>9</v>
      </c>
      <c r="E600" s="1">
        <v>7.5775763988494802</v>
      </c>
      <c r="F600" s="1">
        <f>Tabla1[[#This Row],[tiempo]]/(IF(Tabla1[[#This Row],[tamanho]]=$I$3,$L$3,IF(Tabla1[[#This Row],[tamanho]]=$I$4,$L$4,IF(Tabla1[[#This Row],[tamanho]]=$I$5,$L$5,IF(Tabla1[[#This Row],[tamanho]]=$I$6,$L$6,0))))*IF(C600="8_1",9,25))</f>
        <v>4.1193506407826442E-7</v>
      </c>
    </row>
    <row r="601" spans="1:6" ht="12.75" x14ac:dyDescent="0.2">
      <c r="A601" s="1">
        <v>24</v>
      </c>
      <c r="B601" s="1">
        <v>4</v>
      </c>
      <c r="C601" s="1" t="s">
        <v>8</v>
      </c>
      <c r="D601" s="1" t="s">
        <v>9</v>
      </c>
      <c r="E601" s="1">
        <v>7.7678852081298801</v>
      </c>
      <c r="F601" s="1">
        <f>Tabla1[[#This Row],[tiempo]]/(IF(Tabla1[[#This Row],[tamanho]]=$I$3,$L$3,IF(Tabla1[[#This Row],[tamanho]]=$I$4,$L$4,IF(Tabla1[[#This Row],[tamanho]]=$I$5,$L$5,IF(Tabla1[[#This Row],[tamanho]]=$I$6,$L$6,0))))*IF(C601="8_1",9,25))</f>
        <v>4.2228070329313037E-7</v>
      </c>
    </row>
    <row r="602" spans="1:6" ht="12.75" x14ac:dyDescent="0.2">
      <c r="A602" s="1">
        <v>25</v>
      </c>
      <c r="B602" s="1">
        <v>1</v>
      </c>
      <c r="C602" s="1" t="s">
        <v>5</v>
      </c>
      <c r="D602" s="1" t="s">
        <v>6</v>
      </c>
      <c r="E602" s="1">
        <v>0.405966997146606</v>
      </c>
      <c r="F602" s="1">
        <f>Tabla1[[#This Row],[tiempo]]/(IF(Tabla1[[#This Row],[tamanho]]=$I$3,$L$3,IF(Tabla1[[#This Row],[tamanho]]=$I$4,$L$4,IF(Tabla1[[#This Row],[tamanho]]=$I$5,$L$5,IF(Tabla1[[#This Row],[tamanho]]=$I$6,$L$6,0))))*IF(C602="8_1",9,25))</f>
        <v>1.6730627249508796E-6</v>
      </c>
    </row>
    <row r="603" spans="1:6" ht="12.75" x14ac:dyDescent="0.2">
      <c r="A603" s="1">
        <v>25</v>
      </c>
      <c r="B603" s="1">
        <v>1</v>
      </c>
      <c r="C603" s="1" t="s">
        <v>7</v>
      </c>
      <c r="D603" s="1" t="s">
        <v>6</v>
      </c>
      <c r="E603" s="1">
        <v>0.45025181770324701</v>
      </c>
      <c r="F603" s="1">
        <f>Tabla1[[#This Row],[tiempo]]/(IF(Tabla1[[#This Row],[tamanho]]=$I$3,$L$3,IF(Tabla1[[#This Row],[tamanho]]=$I$4,$L$4,IF(Tabla1[[#This Row],[tamanho]]=$I$5,$L$5,IF(Tabla1[[#This Row],[tamanho]]=$I$6,$L$6,0))))*IF(C603="8_1",9,25))</f>
        <v>6.6800462550090431E-7</v>
      </c>
    </row>
    <row r="604" spans="1:6" ht="12.75" x14ac:dyDescent="0.2">
      <c r="A604" s="1">
        <v>25</v>
      </c>
      <c r="B604" s="1">
        <v>1</v>
      </c>
      <c r="C604" s="1" t="s">
        <v>8</v>
      </c>
      <c r="D604" s="1" t="s">
        <v>6</v>
      </c>
      <c r="E604" s="1">
        <v>0.45544743537902799</v>
      </c>
      <c r="F604" s="1">
        <f>Tabla1[[#This Row],[tiempo]]/(IF(Tabla1[[#This Row],[tamanho]]=$I$3,$L$3,IF(Tabla1[[#This Row],[tamanho]]=$I$4,$L$4,IF(Tabla1[[#This Row],[tamanho]]=$I$5,$L$5,IF(Tabla1[[#This Row],[tamanho]]=$I$6,$L$6,0))))*IF(C604="8_1",9,25))</f>
        <v>6.7571297114947959E-7</v>
      </c>
    </row>
    <row r="605" spans="1:6" ht="12.75" x14ac:dyDescent="0.2">
      <c r="A605" s="1">
        <v>25</v>
      </c>
      <c r="B605" s="1">
        <v>1</v>
      </c>
      <c r="C605" s="1" t="s">
        <v>5</v>
      </c>
      <c r="D605" s="1" t="s">
        <v>9</v>
      </c>
      <c r="E605" s="1">
        <v>0.40396714210510198</v>
      </c>
      <c r="F605" s="1">
        <f>Tabla1[[#This Row],[tiempo]]/(IF(Tabla1[[#This Row],[tamanho]]=$I$3,$L$3,IF(Tabla1[[#This Row],[tamanho]]=$I$4,$L$4,IF(Tabla1[[#This Row],[tamanho]]=$I$5,$L$5,IF(Tabla1[[#This Row],[tamanho]]=$I$6,$L$6,0))))*IF(C605="8_1",9,25))</f>
        <v>1.6648209640472534E-6</v>
      </c>
    </row>
    <row r="606" spans="1:6" ht="12.75" x14ac:dyDescent="0.2">
      <c r="A606" s="1">
        <v>25</v>
      </c>
      <c r="B606" s="1">
        <v>1</v>
      </c>
      <c r="C606" s="1" t="s">
        <v>7</v>
      </c>
      <c r="D606" s="1" t="s">
        <v>9</v>
      </c>
      <c r="E606" s="1">
        <v>0.45046663284301702</v>
      </c>
      <c r="F606" s="1">
        <f>Tabla1[[#This Row],[tiempo]]/(IF(Tabla1[[#This Row],[tamanho]]=$I$3,$L$3,IF(Tabla1[[#This Row],[tamanho]]=$I$4,$L$4,IF(Tabla1[[#This Row],[tamanho]]=$I$5,$L$5,IF(Tabla1[[#This Row],[tamanho]]=$I$6,$L$6,0))))*IF(C606="8_1",9,25))</f>
        <v>6.6832333050408673E-7</v>
      </c>
    </row>
    <row r="607" spans="1:6" ht="12.75" x14ac:dyDescent="0.2">
      <c r="A607" s="1">
        <v>25</v>
      </c>
      <c r="B607" s="1">
        <v>1</v>
      </c>
      <c r="C607" s="1" t="s">
        <v>8</v>
      </c>
      <c r="D607" s="1" t="s">
        <v>9</v>
      </c>
      <c r="E607" s="1">
        <v>0.4563889503479</v>
      </c>
      <c r="F607" s="1">
        <f>Tabla1[[#This Row],[tiempo]]/(IF(Tabla1[[#This Row],[tamanho]]=$I$3,$L$3,IF(Tabla1[[#This Row],[tamanho]]=$I$4,$L$4,IF(Tabla1[[#This Row],[tamanho]]=$I$5,$L$5,IF(Tabla1[[#This Row],[tamanho]]=$I$6,$L$6,0))))*IF(C607="8_1",9,25))</f>
        <v>6.7710982581936875E-7</v>
      </c>
    </row>
    <row r="608" spans="1:6" ht="12.75" x14ac:dyDescent="0.2">
      <c r="A608" s="1">
        <v>25</v>
      </c>
      <c r="B608" s="1">
        <v>2</v>
      </c>
      <c r="C608" s="1" t="s">
        <v>5</v>
      </c>
      <c r="D608" s="1" t="s">
        <v>6</v>
      </c>
      <c r="E608" s="1">
        <v>1.6467661857604901</v>
      </c>
      <c r="F608" s="1">
        <f>Tabla1[[#This Row],[tiempo]]/(IF(Tabla1[[#This Row],[tamanho]]=$I$3,$L$3,IF(Tabla1[[#This Row],[tamanho]]=$I$4,$L$4,IF(Tabla1[[#This Row],[tamanho]]=$I$5,$L$5,IF(Tabla1[[#This Row],[tamanho]]=$I$6,$L$6,0))))*IF(C608="8_1",9,25))</f>
        <v>9.9701409444129022E-7</v>
      </c>
    </row>
    <row r="609" spans="1:6" ht="12.75" x14ac:dyDescent="0.2">
      <c r="A609" s="1">
        <v>25</v>
      </c>
      <c r="B609" s="1">
        <v>2</v>
      </c>
      <c r="C609" s="1" t="s">
        <v>7</v>
      </c>
      <c r="D609" s="1" t="s">
        <v>6</v>
      </c>
      <c r="E609" s="1">
        <v>1.86773705482482</v>
      </c>
      <c r="F609" s="1">
        <f>Tabla1[[#This Row],[tiempo]]/(IF(Tabla1[[#This Row],[tamanho]]=$I$3,$L$3,IF(Tabla1[[#This Row],[tamanho]]=$I$4,$L$4,IF(Tabla1[[#This Row],[tamanho]]=$I$5,$L$5,IF(Tabla1[[#This Row],[tamanho]]=$I$6,$L$6,0))))*IF(C609="8_1",9,25))</f>
        <v>4.0708733662990161E-7</v>
      </c>
    </row>
    <row r="610" spans="1:6" ht="12.75" x14ac:dyDescent="0.2">
      <c r="A610" s="1">
        <v>25</v>
      </c>
      <c r="B610" s="1">
        <v>2</v>
      </c>
      <c r="C610" s="1" t="s">
        <v>8</v>
      </c>
      <c r="D610" s="1" t="s">
        <v>6</v>
      </c>
      <c r="E610" s="1">
        <v>1.8868172168731601</v>
      </c>
      <c r="F610" s="1">
        <f>Tabla1[[#This Row],[tiempo]]/(IF(Tabla1[[#This Row],[tamanho]]=$I$3,$L$3,IF(Tabla1[[#This Row],[tamanho]]=$I$4,$L$4,IF(Tabla1[[#This Row],[tamanho]]=$I$5,$L$5,IF(Tabla1[[#This Row],[tamanho]]=$I$6,$L$6,0))))*IF(C610="8_1",9,25))</f>
        <v>4.1124600143266965E-7</v>
      </c>
    </row>
    <row r="611" spans="1:6" ht="12.75" x14ac:dyDescent="0.2">
      <c r="A611" s="1">
        <v>25</v>
      </c>
      <c r="B611" s="1">
        <v>2</v>
      </c>
      <c r="C611" s="1" t="s">
        <v>5</v>
      </c>
      <c r="D611" s="1" t="s">
        <v>9</v>
      </c>
      <c r="E611" s="1">
        <v>1.66940522193908</v>
      </c>
      <c r="F611" s="1">
        <f>Tabla1[[#This Row],[tiempo]]/(IF(Tabla1[[#This Row],[tamanho]]=$I$3,$L$3,IF(Tabla1[[#This Row],[tamanho]]=$I$4,$L$4,IF(Tabla1[[#This Row],[tamanho]]=$I$5,$L$5,IF(Tabla1[[#This Row],[tamanho]]=$I$6,$L$6,0))))*IF(C611="8_1",9,25))</f>
        <v>1.0107206171703786E-6</v>
      </c>
    </row>
    <row r="612" spans="1:6" ht="12.75" x14ac:dyDescent="0.2">
      <c r="A612" s="1">
        <v>25</v>
      </c>
      <c r="B612" s="1">
        <v>2</v>
      </c>
      <c r="C612" s="1" t="s">
        <v>7</v>
      </c>
      <c r="D612" s="1" t="s">
        <v>9</v>
      </c>
      <c r="E612" s="1">
        <v>1.85933661460876</v>
      </c>
      <c r="F612" s="1">
        <f>Tabla1[[#This Row],[tiempo]]/(IF(Tabla1[[#This Row],[tamanho]]=$I$3,$L$3,IF(Tabla1[[#This Row],[tamanho]]=$I$4,$L$4,IF(Tabla1[[#This Row],[tamanho]]=$I$5,$L$5,IF(Tabla1[[#This Row],[tamanho]]=$I$6,$L$6,0))))*IF(C612="8_1",9,25))</f>
        <v>4.0525639751283443E-7</v>
      </c>
    </row>
    <row r="613" spans="1:6" ht="12.75" x14ac:dyDescent="0.2">
      <c r="A613" s="1">
        <v>25</v>
      </c>
      <c r="B613" s="1">
        <v>2</v>
      </c>
      <c r="C613" s="1" t="s">
        <v>8</v>
      </c>
      <c r="D613" s="1" t="s">
        <v>9</v>
      </c>
      <c r="E613" s="1">
        <v>1.8769445419311499</v>
      </c>
      <c r="F613" s="1">
        <f>Tabla1[[#This Row],[tiempo]]/(IF(Tabla1[[#This Row],[tamanho]]=$I$3,$L$3,IF(Tabla1[[#This Row],[tamanho]]=$I$4,$L$4,IF(Tabla1[[#This Row],[tamanho]]=$I$5,$L$5,IF(Tabla1[[#This Row],[tamanho]]=$I$6,$L$6,0))))*IF(C613="8_1",9,25))</f>
        <v>4.090941776857597E-7</v>
      </c>
    </row>
    <row r="614" spans="1:6" ht="12.75" x14ac:dyDescent="0.2">
      <c r="A614" s="1">
        <v>25</v>
      </c>
      <c r="B614" s="1">
        <v>3</v>
      </c>
      <c r="C614" s="1" t="s">
        <v>5</v>
      </c>
      <c r="D614" s="1" t="s">
        <v>6</v>
      </c>
      <c r="E614" s="1">
        <v>3.7937641143798801</v>
      </c>
      <c r="F614" s="1">
        <f>Tabla1[[#This Row],[tiempo]]/(IF(Tabla1[[#This Row],[tamanho]]=$I$3,$L$3,IF(Tabla1[[#This Row],[tamanho]]=$I$4,$L$4,IF(Tabla1[[#This Row],[tamanho]]=$I$5,$L$5,IF(Tabla1[[#This Row],[tamanho]]=$I$6,$L$6,0))))*IF(C614="8_1",9,25))</f>
        <v>1.020027310248707E-6</v>
      </c>
    </row>
    <row r="615" spans="1:6" ht="12.75" x14ac:dyDescent="0.2">
      <c r="A615" s="1">
        <v>25</v>
      </c>
      <c r="B615" s="1">
        <v>3</v>
      </c>
      <c r="C615" s="1" t="s">
        <v>7</v>
      </c>
      <c r="D615" s="1" t="s">
        <v>6</v>
      </c>
      <c r="E615" s="1">
        <v>4.20678257942199</v>
      </c>
      <c r="F615" s="1">
        <f>Tabla1[[#This Row],[tiempo]]/(IF(Tabla1[[#This Row],[tamanho]]=$I$3,$L$3,IF(Tabla1[[#This Row],[tamanho]]=$I$4,$L$4,IF(Tabla1[[#This Row],[tamanho]]=$I$5,$L$5,IF(Tabla1[[#This Row],[tamanho]]=$I$6,$L$6,0))))*IF(C615="8_1",9,25))</f>
        <v>4.0718713034600984E-7</v>
      </c>
    </row>
    <row r="616" spans="1:6" ht="12.75" x14ac:dyDescent="0.2">
      <c r="A616" s="1">
        <v>25</v>
      </c>
      <c r="B616" s="1">
        <v>3</v>
      </c>
      <c r="C616" s="1" t="s">
        <v>8</v>
      </c>
      <c r="D616" s="1" t="s">
        <v>6</v>
      </c>
      <c r="E616" s="1">
        <v>4.2319469451904297</v>
      </c>
      <c r="F616" s="1">
        <f>Tabla1[[#This Row],[tiempo]]/(IF(Tabla1[[#This Row],[tamanho]]=$I$3,$L$3,IF(Tabla1[[#This Row],[tamanho]]=$I$4,$L$4,IF(Tabla1[[#This Row],[tamanho]]=$I$5,$L$5,IF(Tabla1[[#This Row],[tamanho]]=$I$6,$L$6,0))))*IF(C616="8_1",9,25))</f>
        <v>4.0962286494621256E-7</v>
      </c>
    </row>
    <row r="617" spans="1:6" ht="12.75" x14ac:dyDescent="0.2">
      <c r="A617" s="1">
        <v>25</v>
      </c>
      <c r="B617" s="1">
        <v>3</v>
      </c>
      <c r="C617" s="1" t="s">
        <v>5</v>
      </c>
      <c r="D617" s="1" t="s">
        <v>9</v>
      </c>
      <c r="E617" s="1">
        <v>3.74832892417907</v>
      </c>
      <c r="F617" s="1">
        <f>Tabla1[[#This Row],[tiempo]]/(IF(Tabla1[[#This Row],[tamanho]]=$I$3,$L$3,IF(Tabla1[[#This Row],[tamanho]]=$I$4,$L$4,IF(Tabla1[[#This Row],[tamanho]]=$I$5,$L$5,IF(Tabla1[[#This Row],[tamanho]]=$I$6,$L$6,0))))*IF(C617="8_1",9,25))</f>
        <v>1.0078111751770762E-6</v>
      </c>
    </row>
    <row r="618" spans="1:6" ht="12.75" x14ac:dyDescent="0.2">
      <c r="A618" s="1">
        <v>25</v>
      </c>
      <c r="B618" s="1">
        <v>3</v>
      </c>
      <c r="C618" s="1" t="s">
        <v>7</v>
      </c>
      <c r="D618" s="1" t="s">
        <v>9</v>
      </c>
      <c r="E618" s="1">
        <v>4.2580044269561697</v>
      </c>
      <c r="F618" s="1">
        <f>Tabla1[[#This Row],[tiempo]]/(IF(Tabla1[[#This Row],[tamanho]]=$I$3,$L$3,IF(Tabla1[[#This Row],[tamanho]]=$I$4,$L$4,IF(Tabla1[[#This Row],[tamanho]]=$I$5,$L$5,IF(Tabla1[[#This Row],[tamanho]]=$I$6,$L$6,0))))*IF(C618="8_1",9,25))</f>
        <v>4.1214504692826618E-7</v>
      </c>
    </row>
    <row r="619" spans="1:6" ht="12.75" x14ac:dyDescent="0.2">
      <c r="A619" s="1">
        <v>25</v>
      </c>
      <c r="B619" s="1">
        <v>3</v>
      </c>
      <c r="C619" s="1" t="s">
        <v>8</v>
      </c>
      <c r="D619" s="1" t="s">
        <v>9</v>
      </c>
      <c r="E619" s="1">
        <v>4.3721683025360099</v>
      </c>
      <c r="F619" s="1">
        <f>Tabla1[[#This Row],[tiempo]]/(IF(Tabla1[[#This Row],[tamanho]]=$I$3,$L$3,IF(Tabla1[[#This Row],[tamanho]]=$I$4,$L$4,IF(Tabla1[[#This Row],[tamanho]]=$I$5,$L$5,IF(Tabla1[[#This Row],[tamanho]]=$I$6,$L$6,0))))*IF(C619="8_1",9,25))</f>
        <v>4.2319531159227012E-7</v>
      </c>
    </row>
    <row r="620" spans="1:6" ht="12.75" x14ac:dyDescent="0.2">
      <c r="A620" s="1">
        <v>25</v>
      </c>
      <c r="B620" s="1">
        <v>4</v>
      </c>
      <c r="C620" s="1" t="s">
        <v>5</v>
      </c>
      <c r="D620" s="1" t="s">
        <v>6</v>
      </c>
      <c r="E620" s="1">
        <v>6.7844142913818297</v>
      </c>
      <c r="F620" s="1">
        <f>Tabla1[[#This Row],[tiempo]]/(IF(Tabla1[[#This Row],[tamanho]]=$I$3,$L$3,IF(Tabla1[[#This Row],[tamanho]]=$I$4,$L$4,IF(Tabla1[[#This Row],[tamanho]]=$I$5,$L$5,IF(Tabla1[[#This Row],[tamanho]]=$I$6,$L$6,0))))*IF(C620="8_1",9,25))</f>
        <v>1.0244913518340324E-6</v>
      </c>
    </row>
    <row r="621" spans="1:6" ht="12.75" x14ac:dyDescent="0.2">
      <c r="A621" s="1">
        <v>25</v>
      </c>
      <c r="B621" s="1">
        <v>4</v>
      </c>
      <c r="C621" s="1" t="s">
        <v>7</v>
      </c>
      <c r="D621" s="1" t="s">
        <v>6</v>
      </c>
      <c r="E621" s="1">
        <v>7.5748753547668404</v>
      </c>
      <c r="F621" s="1">
        <f>Tabla1[[#This Row],[tiempo]]/(IF(Tabla1[[#This Row],[tamanho]]=$I$3,$L$3,IF(Tabla1[[#This Row],[tamanho]]=$I$4,$L$4,IF(Tabla1[[#This Row],[tamanho]]=$I$5,$L$5,IF(Tabla1[[#This Row],[tamanho]]=$I$6,$L$6,0))))*IF(C621="8_1",9,25))</f>
        <v>4.1178822890185772E-7</v>
      </c>
    </row>
    <row r="622" spans="1:6" ht="12.75" x14ac:dyDescent="0.2">
      <c r="A622" s="1">
        <v>25</v>
      </c>
      <c r="B622" s="1">
        <v>4</v>
      </c>
      <c r="C622" s="1" t="s">
        <v>8</v>
      </c>
      <c r="D622" s="1" t="s">
        <v>6</v>
      </c>
      <c r="E622" s="1">
        <v>7.6162781715393004</v>
      </c>
      <c r="F622" s="1">
        <f>Tabla1[[#This Row],[tiempo]]/(IF(Tabla1[[#This Row],[tamanho]]=$I$3,$L$3,IF(Tabla1[[#This Row],[tamanho]]=$I$4,$L$4,IF(Tabla1[[#This Row],[tamanho]]=$I$5,$L$5,IF(Tabla1[[#This Row],[tamanho]]=$I$6,$L$6,0))))*IF(C622="8_1",9,25))</f>
        <v>4.1403898443139265E-7</v>
      </c>
    </row>
    <row r="623" spans="1:6" ht="12.75" x14ac:dyDescent="0.2">
      <c r="A623" s="1">
        <v>25</v>
      </c>
      <c r="B623" s="1">
        <v>4</v>
      </c>
      <c r="C623" s="1" t="s">
        <v>5</v>
      </c>
      <c r="D623" s="1" t="s">
        <v>9</v>
      </c>
      <c r="E623" s="1">
        <v>6.8318843841552699</v>
      </c>
      <c r="F623" s="1">
        <f>Tabla1[[#This Row],[tiempo]]/(IF(Tabla1[[#This Row],[tamanho]]=$I$3,$L$3,IF(Tabla1[[#This Row],[tamanho]]=$I$4,$L$4,IF(Tabla1[[#This Row],[tamanho]]=$I$5,$L$5,IF(Tabla1[[#This Row],[tamanho]]=$I$6,$L$6,0))))*IF(C623="8_1",9,25))</f>
        <v>1.0316596492622904E-6</v>
      </c>
    </row>
    <row r="624" spans="1:6" ht="12.75" x14ac:dyDescent="0.2">
      <c r="A624" s="1">
        <v>25</v>
      </c>
      <c r="B624" s="1">
        <v>4</v>
      </c>
      <c r="C624" s="1" t="s">
        <v>7</v>
      </c>
      <c r="D624" s="1" t="s">
        <v>9</v>
      </c>
      <c r="E624" s="1">
        <v>7.62758064270019</v>
      </c>
      <c r="F624" s="1">
        <f>Tabla1[[#This Row],[tiempo]]/(IF(Tabla1[[#This Row],[tamanho]]=$I$3,$L$3,IF(Tabla1[[#This Row],[tamanho]]=$I$4,$L$4,IF(Tabla1[[#This Row],[tamanho]]=$I$5,$L$5,IF(Tabla1[[#This Row],[tamanho]]=$I$6,$L$6,0))))*IF(C624="8_1",9,25))</f>
        <v>4.1465341362838639E-7</v>
      </c>
    </row>
    <row r="625" spans="1:6" ht="12.75" x14ac:dyDescent="0.2">
      <c r="A625" s="1">
        <v>25</v>
      </c>
      <c r="B625" s="1">
        <v>4</v>
      </c>
      <c r="C625" s="1" t="s">
        <v>8</v>
      </c>
      <c r="D625" s="1" t="s">
        <v>9</v>
      </c>
      <c r="E625" s="1">
        <v>7.6775102615356401</v>
      </c>
      <c r="F625" s="1">
        <f>Tabla1[[#This Row],[tiempo]]/(IF(Tabla1[[#This Row],[tamanho]]=$I$3,$L$3,IF(Tabla1[[#This Row],[tamanho]]=$I$4,$L$4,IF(Tabla1[[#This Row],[tamanho]]=$I$5,$L$5,IF(Tabla1[[#This Row],[tamanho]]=$I$6,$L$6,0))))*IF(C625="8_1",9,25))</f>
        <v>4.1736770638530367E-7</v>
      </c>
    </row>
    <row r="626" spans="1:6" ht="12.75" x14ac:dyDescent="0.2">
      <c r="A626" s="1">
        <v>26</v>
      </c>
      <c r="B626" s="1">
        <v>1</v>
      </c>
      <c r="C626" s="1" t="s">
        <v>5</v>
      </c>
      <c r="D626" s="1" t="s">
        <v>6</v>
      </c>
      <c r="E626" s="1">
        <v>0.40512609481811501</v>
      </c>
      <c r="F626" s="1">
        <f>Tabla1[[#This Row],[tiempo]]/(IF(Tabla1[[#This Row],[tamanho]]=$I$3,$L$3,IF(Tabla1[[#This Row],[tamanho]]=$I$4,$L$4,IF(Tabla1[[#This Row],[tamanho]]=$I$5,$L$5,IF(Tabla1[[#This Row],[tamanho]]=$I$6,$L$6,0))))*IF(C626="8_1",9,25))</f>
        <v>1.6695972158060203E-6</v>
      </c>
    </row>
    <row r="627" spans="1:6" ht="12.75" x14ac:dyDescent="0.2">
      <c r="A627" s="1">
        <v>26</v>
      </c>
      <c r="B627" s="1">
        <v>1</v>
      </c>
      <c r="C627" s="1" t="s">
        <v>7</v>
      </c>
      <c r="D627" s="1" t="s">
        <v>6</v>
      </c>
      <c r="E627" s="1">
        <v>0.45574188232421797</v>
      </c>
      <c r="F627" s="1">
        <f>Tabla1[[#This Row],[tiempo]]/(IF(Tabla1[[#This Row],[tamanho]]=$I$3,$L$3,IF(Tabla1[[#This Row],[tamanho]]=$I$4,$L$4,IF(Tabla1[[#This Row],[tamanho]]=$I$5,$L$5,IF(Tabla1[[#This Row],[tamanho]]=$I$6,$L$6,0))))*IF(C627="8_1",9,25))</f>
        <v>6.7614981984973547E-7</v>
      </c>
    </row>
    <row r="628" spans="1:6" ht="12.75" x14ac:dyDescent="0.2">
      <c r="A628" s="1">
        <v>26</v>
      </c>
      <c r="B628" s="1">
        <v>1</v>
      </c>
      <c r="C628" s="1" t="s">
        <v>8</v>
      </c>
      <c r="D628" s="1" t="s">
        <v>6</v>
      </c>
      <c r="E628" s="1">
        <v>0.456830024719238</v>
      </c>
      <c r="F628" s="1">
        <f>Tabla1[[#This Row],[tiempo]]/(IF(Tabla1[[#This Row],[tamanho]]=$I$3,$L$3,IF(Tabla1[[#This Row],[tamanho]]=$I$4,$L$4,IF(Tabla1[[#This Row],[tamanho]]=$I$5,$L$5,IF(Tabla1[[#This Row],[tamanho]]=$I$6,$L$6,0))))*IF(C628="8_1",9,25))</f>
        <v>6.777642145606439E-7</v>
      </c>
    </row>
    <row r="629" spans="1:6" ht="12.75" x14ac:dyDescent="0.2">
      <c r="A629" s="1">
        <v>26</v>
      </c>
      <c r="B629" s="1">
        <v>1</v>
      </c>
      <c r="C629" s="1" t="s">
        <v>5</v>
      </c>
      <c r="D629" s="1" t="s">
        <v>9</v>
      </c>
      <c r="E629" s="1">
        <v>0.40633678436279203</v>
      </c>
      <c r="F629" s="1">
        <f>Tabla1[[#This Row],[tiempo]]/(IF(Tabla1[[#This Row],[tamanho]]=$I$3,$L$3,IF(Tabla1[[#This Row],[tamanho]]=$I$4,$L$4,IF(Tabla1[[#This Row],[tamanho]]=$I$5,$L$5,IF(Tabla1[[#This Row],[tamanho]]=$I$6,$L$6,0))))*IF(C629="8_1",9,25))</f>
        <v>1.67458668431682E-6</v>
      </c>
    </row>
    <row r="630" spans="1:6" ht="12.75" x14ac:dyDescent="0.2">
      <c r="A630" s="1">
        <v>26</v>
      </c>
      <c r="B630" s="1">
        <v>1</v>
      </c>
      <c r="C630" s="1" t="s">
        <v>7</v>
      </c>
      <c r="D630" s="1" t="s">
        <v>9</v>
      </c>
      <c r="E630" s="1">
        <v>0.45510458946228</v>
      </c>
      <c r="F630" s="1">
        <f>Tabla1[[#This Row],[tiempo]]/(IF(Tabla1[[#This Row],[tamanho]]=$I$3,$L$3,IF(Tabla1[[#This Row],[tamanho]]=$I$4,$L$4,IF(Tabla1[[#This Row],[tamanho]]=$I$5,$L$5,IF(Tabla1[[#This Row],[tamanho]]=$I$6,$L$6,0))))*IF(C630="8_1",9,25))</f>
        <v>6.7520431654950479E-7</v>
      </c>
    </row>
    <row r="631" spans="1:6" ht="12.75" x14ac:dyDescent="0.2">
      <c r="A631" s="1">
        <v>26</v>
      </c>
      <c r="B631" s="1">
        <v>1</v>
      </c>
      <c r="C631" s="1" t="s">
        <v>8</v>
      </c>
      <c r="D631" s="1" t="s">
        <v>9</v>
      </c>
      <c r="E631" s="1">
        <v>0.45971083641052202</v>
      </c>
      <c r="F631" s="1">
        <f>Tabla1[[#This Row],[tiempo]]/(IF(Tabla1[[#This Row],[tamanho]]=$I$3,$L$3,IF(Tabla1[[#This Row],[tamanho]]=$I$4,$L$4,IF(Tabla1[[#This Row],[tamanho]]=$I$5,$L$5,IF(Tabla1[[#This Row],[tamanho]]=$I$6,$L$6,0))))*IF(C631="8_1",9,25))</f>
        <v>6.8203825735027932E-7</v>
      </c>
    </row>
    <row r="632" spans="1:6" ht="12.75" x14ac:dyDescent="0.2">
      <c r="A632" s="1">
        <v>26</v>
      </c>
      <c r="B632" s="1">
        <v>2</v>
      </c>
      <c r="C632" s="1" t="s">
        <v>5</v>
      </c>
      <c r="D632" s="1" t="s">
        <v>6</v>
      </c>
      <c r="E632" s="1">
        <v>1.6631486415862999</v>
      </c>
      <c r="F632" s="1">
        <f>Tabla1[[#This Row],[tiempo]]/(IF(Tabla1[[#This Row],[tamanho]]=$I$3,$L$3,IF(Tabla1[[#This Row],[tamanho]]=$I$4,$L$4,IF(Tabla1[[#This Row],[tamanho]]=$I$5,$L$5,IF(Tabla1[[#This Row],[tamanho]]=$I$6,$L$6,0))))*IF(C632="8_1",9,25))</f>
        <v>1.0069326484540756E-6</v>
      </c>
    </row>
    <row r="633" spans="1:6" ht="12.75" x14ac:dyDescent="0.2">
      <c r="A633" s="1">
        <v>26</v>
      </c>
      <c r="B633" s="1">
        <v>2</v>
      </c>
      <c r="C633" s="1" t="s">
        <v>7</v>
      </c>
      <c r="D633" s="1" t="s">
        <v>6</v>
      </c>
      <c r="E633" s="1">
        <v>1.86573338508605</v>
      </c>
      <c r="F633" s="1">
        <f>Tabla1[[#This Row],[tiempo]]/(IF(Tabla1[[#This Row],[tamanho]]=$I$3,$L$3,IF(Tabla1[[#This Row],[tamanho]]=$I$4,$L$4,IF(Tabla1[[#This Row],[tamanho]]=$I$5,$L$5,IF(Tabla1[[#This Row],[tamanho]]=$I$6,$L$6,0))))*IF(C633="8_1",9,25))</f>
        <v>4.0665062174258127E-7</v>
      </c>
    </row>
    <row r="634" spans="1:6" ht="12.75" x14ac:dyDescent="0.2">
      <c r="A634" s="1">
        <v>26</v>
      </c>
      <c r="B634" s="1">
        <v>2</v>
      </c>
      <c r="C634" s="1" t="s">
        <v>8</v>
      </c>
      <c r="D634" s="1" t="s">
        <v>6</v>
      </c>
      <c r="E634" s="1">
        <v>1.8767340183257999</v>
      </c>
      <c r="F634" s="1">
        <f>Tabla1[[#This Row],[tiempo]]/(IF(Tabla1[[#This Row],[tamanho]]=$I$3,$L$3,IF(Tabla1[[#This Row],[tamanho]]=$I$4,$L$4,IF(Tabla1[[#This Row],[tamanho]]=$I$5,$L$5,IF(Tabla1[[#This Row],[tamanho]]=$I$6,$L$6,0))))*IF(C634="8_1",9,25))</f>
        <v>4.090482924828195E-7</v>
      </c>
    </row>
    <row r="635" spans="1:6" ht="12.75" x14ac:dyDescent="0.2">
      <c r="A635" s="1">
        <v>26</v>
      </c>
      <c r="B635" s="1">
        <v>2</v>
      </c>
      <c r="C635" s="1" t="s">
        <v>5</v>
      </c>
      <c r="D635" s="1" t="s">
        <v>9</v>
      </c>
      <c r="E635" s="1">
        <v>1.6672511100769001</v>
      </c>
      <c r="F635" s="1">
        <f>Tabla1[[#This Row],[tiempo]]/(IF(Tabla1[[#This Row],[tamanho]]=$I$3,$L$3,IF(Tabla1[[#This Row],[tamanho]]=$I$4,$L$4,IF(Tabla1[[#This Row],[tamanho]]=$I$5,$L$5,IF(Tabla1[[#This Row],[tamanho]]=$I$6,$L$6,0))))*IF(C635="8_1",9,25))</f>
        <v>1.0094164369496725E-6</v>
      </c>
    </row>
    <row r="636" spans="1:6" ht="12.75" x14ac:dyDescent="0.2">
      <c r="A636" s="1">
        <v>26</v>
      </c>
      <c r="B636" s="1">
        <v>2</v>
      </c>
      <c r="C636" s="1" t="s">
        <v>7</v>
      </c>
      <c r="D636" s="1" t="s">
        <v>9</v>
      </c>
      <c r="E636" s="1">
        <v>1.8639557361602701</v>
      </c>
      <c r="F636" s="1">
        <f>Tabla1[[#This Row],[tiempo]]/(IF(Tabla1[[#This Row],[tamanho]]=$I$3,$L$3,IF(Tabla1[[#This Row],[tamanho]]=$I$4,$L$4,IF(Tabla1[[#This Row],[tamanho]]=$I$5,$L$5,IF(Tabla1[[#This Row],[tamanho]]=$I$6,$L$6,0))))*IF(C636="8_1",9,25))</f>
        <v>4.0626316979114661E-7</v>
      </c>
    </row>
    <row r="637" spans="1:6" ht="12.75" x14ac:dyDescent="0.2">
      <c r="A637" s="1">
        <v>26</v>
      </c>
      <c r="B637" s="1">
        <v>2</v>
      </c>
      <c r="C637" s="1" t="s">
        <v>8</v>
      </c>
      <c r="D637" s="1" t="s">
        <v>9</v>
      </c>
      <c r="E637" s="1">
        <v>1.89369916915893</v>
      </c>
      <c r="F637" s="1">
        <f>Tabla1[[#This Row],[tiempo]]/(IF(Tabla1[[#This Row],[tamanho]]=$I$3,$L$3,IF(Tabla1[[#This Row],[tamanho]]=$I$4,$L$4,IF(Tabla1[[#This Row],[tamanho]]=$I$5,$L$5,IF(Tabla1[[#This Row],[tamanho]]=$I$6,$L$6,0))))*IF(C637="8_1",9,25))</f>
        <v>4.1274597468618038E-7</v>
      </c>
    </row>
    <row r="638" spans="1:6" ht="12.75" x14ac:dyDescent="0.2">
      <c r="A638" s="1">
        <v>26</v>
      </c>
      <c r="B638" s="1">
        <v>3</v>
      </c>
      <c r="C638" s="1" t="s">
        <v>5</v>
      </c>
      <c r="D638" s="1" t="s">
        <v>6</v>
      </c>
      <c r="E638" s="1">
        <v>3.82920145988464</v>
      </c>
      <c r="F638" s="1">
        <f>Tabla1[[#This Row],[tiempo]]/(IF(Tabla1[[#This Row],[tamanho]]=$I$3,$L$3,IF(Tabla1[[#This Row],[tamanho]]=$I$4,$L$4,IF(Tabla1[[#This Row],[tamanho]]=$I$5,$L$5,IF(Tabla1[[#This Row],[tamanho]]=$I$6,$L$6,0))))*IF(C638="8_1",9,25))</f>
        <v>1.029555330211931E-6</v>
      </c>
    </row>
    <row r="639" spans="1:6" ht="12.75" x14ac:dyDescent="0.2">
      <c r="A639" s="1">
        <v>26</v>
      </c>
      <c r="B639" s="1">
        <v>3</v>
      </c>
      <c r="C639" s="1" t="s">
        <v>7</v>
      </c>
      <c r="D639" s="1" t="s">
        <v>6</v>
      </c>
      <c r="E639" s="1">
        <v>4.2659571170806796</v>
      </c>
      <c r="F639" s="1">
        <f>Tabla1[[#This Row],[tiempo]]/(IF(Tabla1[[#This Row],[tamanho]]=$I$3,$L$3,IF(Tabla1[[#This Row],[tamanho]]=$I$4,$L$4,IF(Tabla1[[#This Row],[tamanho]]=$I$5,$L$5,IF(Tabla1[[#This Row],[tamanho]]=$I$6,$L$6,0))))*IF(C639="8_1",9,25))</f>
        <v>4.129148117091157E-7</v>
      </c>
    </row>
    <row r="640" spans="1:6" ht="12.75" x14ac:dyDescent="0.2">
      <c r="A640" s="1">
        <v>26</v>
      </c>
      <c r="B640" s="1">
        <v>3</v>
      </c>
      <c r="C640" s="1" t="s">
        <v>8</v>
      </c>
      <c r="D640" s="1" t="s">
        <v>6</v>
      </c>
      <c r="E640" s="1">
        <v>4.2828991413116402</v>
      </c>
      <c r="F640" s="1">
        <f>Tabla1[[#This Row],[tiempo]]/(IF(Tabla1[[#This Row],[tamanho]]=$I$3,$L$3,IF(Tabla1[[#This Row],[tamanho]]=$I$4,$L$4,IF(Tabla1[[#This Row],[tamanho]]=$I$5,$L$5,IF(Tabla1[[#This Row],[tamanho]]=$I$6,$L$6,0))))*IF(C640="8_1",9,25))</f>
        <v>4.1455468115770631E-7</v>
      </c>
    </row>
    <row r="641" spans="1:6" ht="12.75" x14ac:dyDescent="0.2">
      <c r="A641" s="1">
        <v>26</v>
      </c>
      <c r="B641" s="1">
        <v>3</v>
      </c>
      <c r="C641" s="1" t="s">
        <v>5</v>
      </c>
      <c r="D641" s="1" t="s">
        <v>9</v>
      </c>
      <c r="E641" s="1">
        <v>3.8147909641265798</v>
      </c>
      <c r="F641" s="1">
        <f>Tabla1[[#This Row],[tiempo]]/(IF(Tabla1[[#This Row],[tamanho]]=$I$3,$L$3,IF(Tabla1[[#This Row],[tamanho]]=$I$4,$L$4,IF(Tabla1[[#This Row],[tamanho]]=$I$5,$L$5,IF(Tabla1[[#This Row],[tamanho]]=$I$6,$L$6,0))))*IF(C641="8_1",9,25))</f>
        <v>1.0256807879936288E-6</v>
      </c>
    </row>
    <row r="642" spans="1:6" ht="12.75" x14ac:dyDescent="0.2">
      <c r="A642" s="1">
        <v>26</v>
      </c>
      <c r="B642" s="1">
        <v>3</v>
      </c>
      <c r="C642" s="1" t="s">
        <v>7</v>
      </c>
      <c r="D642" s="1" t="s">
        <v>9</v>
      </c>
      <c r="E642" s="1">
        <v>4.2469396591186497</v>
      </c>
      <c r="F642" s="1">
        <f>Tabla1[[#This Row],[tiempo]]/(IF(Tabla1[[#This Row],[tamanho]]=$I$3,$L$3,IF(Tabla1[[#This Row],[tamanho]]=$I$4,$L$4,IF(Tabla1[[#This Row],[tamanho]]=$I$5,$L$5,IF(Tabla1[[#This Row],[tamanho]]=$I$6,$L$6,0))))*IF(C642="8_1",9,25))</f>
        <v>4.1107405479148604E-7</v>
      </c>
    </row>
    <row r="643" spans="1:6" ht="12.75" x14ac:dyDescent="0.2">
      <c r="A643" s="1">
        <v>26</v>
      </c>
      <c r="B643" s="1">
        <v>3</v>
      </c>
      <c r="C643" s="1" t="s">
        <v>8</v>
      </c>
      <c r="D643" s="1" t="s">
        <v>9</v>
      </c>
      <c r="E643" s="1">
        <v>4.2721643447875897</v>
      </c>
      <c r="F643" s="1">
        <f>Tabla1[[#This Row],[tiempo]]/(IF(Tabla1[[#This Row],[tamanho]]=$I$3,$L$3,IF(Tabla1[[#This Row],[tamanho]]=$I$4,$L$4,IF(Tabla1[[#This Row],[tamanho]]=$I$5,$L$5,IF(Tabla1[[#This Row],[tamanho]]=$I$6,$L$6,0))))*IF(C643="8_1",9,25))</f>
        <v>4.1351562793616403E-7</v>
      </c>
    </row>
    <row r="644" spans="1:6" ht="12.75" x14ac:dyDescent="0.2">
      <c r="A644" s="1">
        <v>26</v>
      </c>
      <c r="B644" s="1">
        <v>4</v>
      </c>
      <c r="C644" s="1" t="s">
        <v>5</v>
      </c>
      <c r="D644" s="1" t="s">
        <v>6</v>
      </c>
      <c r="E644" s="1">
        <v>6.78519535064697</v>
      </c>
      <c r="F644" s="1">
        <f>Tabla1[[#This Row],[tiempo]]/(IF(Tabla1[[#This Row],[tamanho]]=$I$3,$L$3,IF(Tabla1[[#This Row],[tamanho]]=$I$4,$L$4,IF(Tabla1[[#This Row],[tamanho]]=$I$5,$L$5,IF(Tabla1[[#This Row],[tamanho]]=$I$6,$L$6,0))))*IF(C644="8_1",9,25))</f>
        <v>1.0246092969399825E-6</v>
      </c>
    </row>
    <row r="645" spans="1:6" ht="12.75" x14ac:dyDescent="0.2">
      <c r="A645" s="1">
        <v>26</v>
      </c>
      <c r="B645" s="1">
        <v>4</v>
      </c>
      <c r="C645" s="1" t="s">
        <v>7</v>
      </c>
      <c r="D645" s="1" t="s">
        <v>6</v>
      </c>
      <c r="E645" s="1">
        <v>7.6168987751007</v>
      </c>
      <c r="F645" s="1">
        <f>Tabla1[[#This Row],[tiempo]]/(IF(Tabla1[[#This Row],[tamanho]]=$I$3,$L$3,IF(Tabla1[[#This Row],[tamanho]]=$I$4,$L$4,IF(Tabla1[[#This Row],[tamanho]]=$I$5,$L$5,IF(Tabla1[[#This Row],[tamanho]]=$I$6,$L$6,0))))*IF(C645="8_1",9,25))</f>
        <v>4.1407272191609437E-7</v>
      </c>
    </row>
    <row r="646" spans="1:6" ht="12.75" x14ac:dyDescent="0.2">
      <c r="A646" s="1">
        <v>26</v>
      </c>
      <c r="B646" s="1">
        <v>4</v>
      </c>
      <c r="C646" s="1" t="s">
        <v>8</v>
      </c>
      <c r="D646" s="1" t="s">
        <v>6</v>
      </c>
      <c r="E646" s="1">
        <v>7.6906602382659903</v>
      </c>
      <c r="F646" s="1">
        <f>Tabla1[[#This Row],[tiempo]]/(IF(Tabla1[[#This Row],[tamanho]]=$I$3,$L$3,IF(Tabla1[[#This Row],[tamanho]]=$I$4,$L$4,IF(Tabla1[[#This Row],[tamanho]]=$I$5,$L$5,IF(Tabla1[[#This Row],[tamanho]]=$I$6,$L$6,0))))*IF(C646="8_1",9,25))</f>
        <v>4.1808257037636379E-7</v>
      </c>
    </row>
    <row r="647" spans="1:6" ht="12.75" x14ac:dyDescent="0.2">
      <c r="A647" s="1">
        <v>26</v>
      </c>
      <c r="B647" s="1">
        <v>4</v>
      </c>
      <c r="C647" s="1" t="s">
        <v>5</v>
      </c>
      <c r="D647" s="1" t="s">
        <v>9</v>
      </c>
      <c r="E647" s="1">
        <v>6.8461623191833496</v>
      </c>
      <c r="F647" s="1">
        <f>Tabla1[[#This Row],[tiempo]]/(IF(Tabla1[[#This Row],[tamanho]]=$I$3,$L$3,IF(Tabla1[[#This Row],[tamanho]]=$I$4,$L$4,IF(Tabla1[[#This Row],[tamanho]]=$I$5,$L$5,IF(Tabla1[[#This Row],[tamanho]]=$I$6,$L$6,0))))*IF(C647="8_1",9,25))</f>
        <v>1.0338157117210494E-6</v>
      </c>
    </row>
    <row r="648" spans="1:6" ht="12.75" x14ac:dyDescent="0.2">
      <c r="A648" s="1">
        <v>26</v>
      </c>
      <c r="B648" s="1">
        <v>4</v>
      </c>
      <c r="C648" s="1" t="s">
        <v>7</v>
      </c>
      <c r="D648" s="1" t="s">
        <v>9</v>
      </c>
      <c r="E648" s="1">
        <v>7.6003284454345703</v>
      </c>
      <c r="F648" s="1">
        <f>Tabla1[[#This Row],[tiempo]]/(IF(Tabla1[[#This Row],[tamanho]]=$I$3,$L$3,IF(Tabla1[[#This Row],[tamanho]]=$I$4,$L$4,IF(Tabla1[[#This Row],[tamanho]]=$I$5,$L$5,IF(Tabla1[[#This Row],[tamanho]]=$I$6,$L$6,0))))*IF(C648="8_1",9,25))</f>
        <v>4.1317191940965559E-7</v>
      </c>
    </row>
    <row r="649" spans="1:6" ht="12.75" x14ac:dyDescent="0.2">
      <c r="A649" s="1">
        <v>26</v>
      </c>
      <c r="B649" s="1">
        <v>4</v>
      </c>
      <c r="C649" s="1" t="s">
        <v>8</v>
      </c>
      <c r="D649" s="1" t="s">
        <v>9</v>
      </c>
      <c r="E649" s="1">
        <v>7.7303597927093497</v>
      </c>
      <c r="F649" s="1">
        <f>Tabla1[[#This Row],[tiempo]]/(IF(Tabla1[[#This Row],[tamanho]]=$I$3,$L$3,IF(Tabla1[[#This Row],[tamanho]]=$I$4,$L$4,IF(Tabla1[[#This Row],[tamanho]]=$I$5,$L$5,IF(Tabla1[[#This Row],[tamanho]]=$I$6,$L$6,0))))*IF(C649="8_1",9,25))</f>
        <v>4.2024073251722809E-7</v>
      </c>
    </row>
    <row r="650" spans="1:6" ht="12.75" x14ac:dyDescent="0.2">
      <c r="A650" s="1">
        <v>27</v>
      </c>
      <c r="B650" s="1">
        <v>1</v>
      </c>
      <c r="C650" s="1" t="s">
        <v>5</v>
      </c>
      <c r="D650" s="1" t="s">
        <v>6</v>
      </c>
      <c r="E650" s="1">
        <v>0.40646886825561501</v>
      </c>
      <c r="F650" s="1">
        <f>Tabla1[[#This Row],[tiempo]]/(IF(Tabla1[[#This Row],[tamanho]]=$I$3,$L$3,IF(Tabla1[[#This Row],[tamanho]]=$I$4,$L$4,IF(Tabla1[[#This Row],[tamanho]]=$I$5,$L$5,IF(Tabla1[[#This Row],[tamanho]]=$I$6,$L$6,0))))*IF(C650="8_1",9,25))</f>
        <v>1.6751310257022077E-6</v>
      </c>
    </row>
    <row r="651" spans="1:6" ht="12.75" x14ac:dyDescent="0.2">
      <c r="A651" s="1">
        <v>27</v>
      </c>
      <c r="B651" s="1">
        <v>1</v>
      </c>
      <c r="C651" s="1" t="s">
        <v>7</v>
      </c>
      <c r="D651" s="1" t="s">
        <v>6</v>
      </c>
      <c r="E651" s="1">
        <v>0.45411038398742598</v>
      </c>
      <c r="F651" s="1">
        <f>Tabla1[[#This Row],[tiempo]]/(IF(Tabla1[[#This Row],[tamanho]]=$I$3,$L$3,IF(Tabla1[[#This Row],[tamanho]]=$I$4,$L$4,IF(Tabla1[[#This Row],[tamanho]]=$I$5,$L$5,IF(Tabla1[[#This Row],[tamanho]]=$I$6,$L$6,0))))*IF(C651="8_1",9,25))</f>
        <v>6.737292889543058E-7</v>
      </c>
    </row>
    <row r="652" spans="1:6" ht="12.75" x14ac:dyDescent="0.2">
      <c r="A652" s="1">
        <v>27</v>
      </c>
      <c r="B652" s="1">
        <v>1</v>
      </c>
      <c r="C652" s="1" t="s">
        <v>8</v>
      </c>
      <c r="D652" s="1" t="s">
        <v>6</v>
      </c>
      <c r="E652" s="1">
        <v>0.45503711700439398</v>
      </c>
      <c r="F652" s="1">
        <f>Tabla1[[#This Row],[tiempo]]/(IF(Tabla1[[#This Row],[tamanho]]=$I$3,$L$3,IF(Tabla1[[#This Row],[tamanho]]=$I$4,$L$4,IF(Tabla1[[#This Row],[tamanho]]=$I$5,$L$5,IF(Tabla1[[#This Row],[tamanho]]=$I$6,$L$6,0))))*IF(C652="8_1",9,25))</f>
        <v>6.7510421275827155E-7</v>
      </c>
    </row>
    <row r="653" spans="1:6" ht="12.75" x14ac:dyDescent="0.2">
      <c r="A653" s="1">
        <v>27</v>
      </c>
      <c r="B653" s="1">
        <v>1</v>
      </c>
      <c r="C653" s="1" t="s">
        <v>5</v>
      </c>
      <c r="D653" s="1" t="s">
        <v>9</v>
      </c>
      <c r="E653" s="1">
        <v>0.402790307998657</v>
      </c>
      <c r="F653" s="1">
        <f>Tabla1[[#This Row],[tiempo]]/(IF(Tabla1[[#This Row],[tamanho]]=$I$3,$L$3,IF(Tabla1[[#This Row],[tamanho]]=$I$4,$L$4,IF(Tabla1[[#This Row],[tamanho]]=$I$5,$L$5,IF(Tabla1[[#This Row],[tamanho]]=$I$6,$L$6,0))))*IF(C653="8_1",9,25))</f>
        <v>1.65997101986267E-6</v>
      </c>
    </row>
    <row r="654" spans="1:6" ht="12.75" x14ac:dyDescent="0.2">
      <c r="A654" s="1">
        <v>27</v>
      </c>
      <c r="B654" s="1">
        <v>1</v>
      </c>
      <c r="C654" s="1" t="s">
        <v>7</v>
      </c>
      <c r="D654" s="1" t="s">
        <v>9</v>
      </c>
      <c r="E654" s="1">
        <v>0.451348066329956</v>
      </c>
      <c r="F654" s="1">
        <f>Tabla1[[#This Row],[tiempo]]/(IF(Tabla1[[#This Row],[tamanho]]=$I$3,$L$3,IF(Tabla1[[#This Row],[tamanho]]=$I$4,$L$4,IF(Tabla1[[#This Row],[tamanho]]=$I$5,$L$5,IF(Tabla1[[#This Row],[tamanho]]=$I$6,$L$6,0))))*IF(C654="8_1",9,25))</f>
        <v>6.6963104681570562E-7</v>
      </c>
    </row>
    <row r="655" spans="1:6" ht="12.75" x14ac:dyDescent="0.2">
      <c r="A655" s="1">
        <v>27</v>
      </c>
      <c r="B655" s="1">
        <v>1</v>
      </c>
      <c r="C655" s="1" t="s">
        <v>8</v>
      </c>
      <c r="D655" s="1" t="s">
        <v>9</v>
      </c>
      <c r="E655" s="1">
        <v>0.45850181579589799</v>
      </c>
      <c r="F655" s="1">
        <f>Tabla1[[#This Row],[tiempo]]/(IF(Tabla1[[#This Row],[tamanho]]=$I$3,$L$3,IF(Tabla1[[#This Row],[tamanho]]=$I$4,$L$4,IF(Tabla1[[#This Row],[tamanho]]=$I$5,$L$5,IF(Tabla1[[#This Row],[tamanho]]=$I$6,$L$6,0))))*IF(C655="8_1",9,25))</f>
        <v>6.8024452475189792E-7</v>
      </c>
    </row>
    <row r="656" spans="1:6" ht="12.75" x14ac:dyDescent="0.2">
      <c r="A656" s="1">
        <v>27</v>
      </c>
      <c r="B656" s="1">
        <v>2</v>
      </c>
      <c r="C656" s="1" t="s">
        <v>5</v>
      </c>
      <c r="D656" s="1" t="s">
        <v>6</v>
      </c>
      <c r="E656" s="1">
        <v>1.6707558631896899</v>
      </c>
      <c r="F656" s="1">
        <f>Tabla1[[#This Row],[tiempo]]/(IF(Tabla1[[#This Row],[tamanho]]=$I$3,$L$3,IF(Tabla1[[#This Row],[tamanho]]=$I$4,$L$4,IF(Tabla1[[#This Row],[tamanho]]=$I$5,$L$5,IF(Tabla1[[#This Row],[tamanho]]=$I$6,$L$6,0))))*IF(C656="8_1",9,25))</f>
        <v>1.0115383461078781E-6</v>
      </c>
    </row>
    <row r="657" spans="1:6" ht="12.75" x14ac:dyDescent="0.2">
      <c r="A657" s="1">
        <v>27</v>
      </c>
      <c r="B657" s="1">
        <v>2</v>
      </c>
      <c r="C657" s="1" t="s">
        <v>7</v>
      </c>
      <c r="D657" s="1" t="s">
        <v>6</v>
      </c>
      <c r="E657" s="1">
        <v>1.8708927631378101</v>
      </c>
      <c r="F657" s="1">
        <f>Tabla1[[#This Row],[tiempo]]/(IF(Tabla1[[#This Row],[tamanho]]=$I$3,$L$3,IF(Tabla1[[#This Row],[tamanho]]=$I$4,$L$4,IF(Tabla1[[#This Row],[tamanho]]=$I$5,$L$5,IF(Tabla1[[#This Row],[tamanho]]=$I$6,$L$6,0))))*IF(C657="8_1",9,25))</f>
        <v>4.0777514698789467E-7</v>
      </c>
    </row>
    <row r="658" spans="1:6" ht="12.75" x14ac:dyDescent="0.2">
      <c r="A658" s="1">
        <v>27</v>
      </c>
      <c r="B658" s="1">
        <v>2</v>
      </c>
      <c r="C658" s="1" t="s">
        <v>8</v>
      </c>
      <c r="D658" s="1" t="s">
        <v>6</v>
      </c>
      <c r="E658" s="1">
        <v>1.8796577453613199</v>
      </c>
      <c r="F658" s="1">
        <f>Tabla1[[#This Row],[tiempo]]/(IF(Tabla1[[#This Row],[tamanho]]=$I$3,$L$3,IF(Tabla1[[#This Row],[tamanho]]=$I$4,$L$4,IF(Tabla1[[#This Row],[tamanho]]=$I$5,$L$5,IF(Tabla1[[#This Row],[tamanho]]=$I$6,$L$6,0))))*IF(C658="8_1",9,25))</f>
        <v>4.0968554077687033E-7</v>
      </c>
    </row>
    <row r="659" spans="1:6" ht="12.75" x14ac:dyDescent="0.2">
      <c r="A659" s="1">
        <v>27</v>
      </c>
      <c r="B659" s="1">
        <v>2</v>
      </c>
      <c r="C659" s="1" t="s">
        <v>5</v>
      </c>
      <c r="D659" s="1" t="s">
        <v>9</v>
      </c>
      <c r="E659" s="1">
        <v>1.6766128540039</v>
      </c>
      <c r="F659" s="1">
        <f>Tabla1[[#This Row],[tiempo]]/(IF(Tabla1[[#This Row],[tamanho]]=$I$3,$L$3,IF(Tabla1[[#This Row],[tamanho]]=$I$4,$L$4,IF(Tabla1[[#This Row],[tamanho]]=$I$5,$L$5,IF(Tabla1[[#This Row],[tamanho]]=$I$6,$L$6,0))))*IF(C659="8_1",9,25))</f>
        <v>1.0150843883106355E-6</v>
      </c>
    </row>
    <row r="660" spans="1:6" ht="12.75" x14ac:dyDescent="0.2">
      <c r="A660" s="1">
        <v>27</v>
      </c>
      <c r="B660" s="1">
        <v>2</v>
      </c>
      <c r="C660" s="1" t="s">
        <v>7</v>
      </c>
      <c r="D660" s="1" t="s">
        <v>9</v>
      </c>
      <c r="E660" s="1">
        <v>1.88704586029052</v>
      </c>
      <c r="F660" s="1">
        <f>Tabla1[[#This Row],[tiempo]]/(IF(Tabla1[[#This Row],[tamanho]]=$I$3,$L$3,IF(Tabla1[[#This Row],[tamanho]]=$I$4,$L$4,IF(Tabla1[[#This Row],[tamanho]]=$I$5,$L$5,IF(Tabla1[[#This Row],[tamanho]]=$I$6,$L$6,0))))*IF(C660="8_1",9,25))</f>
        <v>4.1129583598489991E-7</v>
      </c>
    </row>
    <row r="661" spans="1:6" ht="12.75" x14ac:dyDescent="0.2">
      <c r="A661" s="1">
        <v>27</v>
      </c>
      <c r="B661" s="1">
        <v>2</v>
      </c>
      <c r="C661" s="1" t="s">
        <v>8</v>
      </c>
      <c r="D661" s="1" t="s">
        <v>9</v>
      </c>
      <c r="E661" s="1">
        <v>1.88596534729003</v>
      </c>
      <c r="F661" s="1">
        <f>Tabla1[[#This Row],[tiempo]]/(IF(Tabla1[[#This Row],[tamanho]]=$I$3,$L$3,IF(Tabla1[[#This Row],[tamanho]]=$I$4,$L$4,IF(Tabla1[[#This Row],[tamanho]]=$I$5,$L$5,IF(Tabla1[[#This Row],[tamanho]]=$I$6,$L$6,0))))*IF(C661="8_1",9,25))</f>
        <v>4.110603300508996E-7</v>
      </c>
    </row>
    <row r="662" spans="1:6" ht="12.75" x14ac:dyDescent="0.2">
      <c r="A662" s="1">
        <v>27</v>
      </c>
      <c r="B662" s="1">
        <v>3</v>
      </c>
      <c r="C662" s="1" t="s">
        <v>5</v>
      </c>
      <c r="D662" s="1" t="s">
        <v>6</v>
      </c>
      <c r="E662" s="1">
        <v>3.7623991966247501</v>
      </c>
      <c r="F662" s="1">
        <f>Tabla1[[#This Row],[tiempo]]/(IF(Tabla1[[#This Row],[tamanho]]=$I$3,$L$3,IF(Tabla1[[#This Row],[tamanho]]=$I$4,$L$4,IF(Tabla1[[#This Row],[tamanho]]=$I$5,$L$5,IF(Tabla1[[#This Row],[tamanho]]=$I$6,$L$6,0))))*IF(C662="8_1",9,25))</f>
        <v>1.0115942417369694E-6</v>
      </c>
    </row>
    <row r="663" spans="1:6" ht="12.75" x14ac:dyDescent="0.2">
      <c r="A663" s="1">
        <v>27</v>
      </c>
      <c r="B663" s="1">
        <v>3</v>
      </c>
      <c r="C663" s="1" t="s">
        <v>7</v>
      </c>
      <c r="D663" s="1" t="s">
        <v>6</v>
      </c>
      <c r="E663" s="1">
        <v>4.26722908020019</v>
      </c>
      <c r="F663" s="1">
        <f>Tabla1[[#This Row],[tiempo]]/(IF(Tabla1[[#This Row],[tamanho]]=$I$3,$L$3,IF(Tabla1[[#This Row],[tamanho]]=$I$4,$L$4,IF(Tabla1[[#This Row],[tamanho]]=$I$5,$L$5,IF(Tabla1[[#This Row],[tamanho]]=$I$6,$L$6,0))))*IF(C663="8_1",9,25))</f>
        <v>4.1303792884264023E-7</v>
      </c>
    </row>
    <row r="664" spans="1:6" ht="12.75" x14ac:dyDescent="0.2">
      <c r="A664" s="1">
        <v>27</v>
      </c>
      <c r="B664" s="1">
        <v>3</v>
      </c>
      <c r="C664" s="1" t="s">
        <v>8</v>
      </c>
      <c r="D664" s="1" t="s">
        <v>6</v>
      </c>
      <c r="E664" s="1">
        <v>4.2469675540924001</v>
      </c>
      <c r="F664" s="1">
        <f>Tabla1[[#This Row],[tiempo]]/(IF(Tabla1[[#This Row],[tamanho]]=$I$3,$L$3,IF(Tabla1[[#This Row],[tamanho]]=$I$4,$L$4,IF(Tabla1[[#This Row],[tamanho]]=$I$5,$L$5,IF(Tabla1[[#This Row],[tamanho]]=$I$6,$L$6,0))))*IF(C664="8_1",9,25))</f>
        <v>4.1107675482984033E-7</v>
      </c>
    </row>
    <row r="665" spans="1:6" ht="12.75" x14ac:dyDescent="0.2">
      <c r="A665" s="1">
        <v>27</v>
      </c>
      <c r="B665" s="1">
        <v>3</v>
      </c>
      <c r="C665" s="1" t="s">
        <v>5</v>
      </c>
      <c r="D665" s="1" t="s">
        <v>9</v>
      </c>
      <c r="E665" s="1">
        <v>3.7691233158111501</v>
      </c>
      <c r="F665" s="1">
        <f>Tabla1[[#This Row],[tiempo]]/(IF(Tabla1[[#This Row],[tamanho]]=$I$3,$L$3,IF(Tabla1[[#This Row],[tamanho]]=$I$4,$L$4,IF(Tabla1[[#This Row],[tamanho]]=$I$5,$L$5,IF(Tabla1[[#This Row],[tamanho]]=$I$6,$L$6,0))))*IF(C665="8_1",9,25))</f>
        <v>1.0134021520341588E-6</v>
      </c>
    </row>
    <row r="666" spans="1:6" ht="12.75" x14ac:dyDescent="0.2">
      <c r="A666" s="1">
        <v>27</v>
      </c>
      <c r="B666" s="1">
        <v>3</v>
      </c>
      <c r="C666" s="1" t="s">
        <v>7</v>
      </c>
      <c r="D666" s="1" t="s">
        <v>9</v>
      </c>
      <c r="E666" s="1">
        <v>4.23418736457824</v>
      </c>
      <c r="F666" s="1">
        <f>Tabla1[[#This Row],[tiempo]]/(IF(Tabla1[[#This Row],[tamanho]]=$I$3,$L$3,IF(Tabla1[[#This Row],[tamanho]]=$I$4,$L$4,IF(Tabla1[[#This Row],[tamanho]]=$I$5,$L$5,IF(Tabla1[[#This Row],[tamanho]]=$I$6,$L$6,0))))*IF(C666="8_1",9,25))</f>
        <v>4.0983972187287112E-7</v>
      </c>
    </row>
    <row r="667" spans="1:6" ht="12.75" x14ac:dyDescent="0.2">
      <c r="A667" s="1">
        <v>27</v>
      </c>
      <c r="B667" s="1">
        <v>3</v>
      </c>
      <c r="C667" s="1" t="s">
        <v>8</v>
      </c>
      <c r="D667" s="1" t="s">
        <v>9</v>
      </c>
      <c r="E667" s="1">
        <v>4.2555396556854204</v>
      </c>
      <c r="F667" s="1">
        <f>Tabla1[[#This Row],[tiempo]]/(IF(Tabla1[[#This Row],[tamanho]]=$I$3,$L$3,IF(Tabla1[[#This Row],[tamanho]]=$I$4,$L$4,IF(Tabla1[[#This Row],[tamanho]]=$I$5,$L$5,IF(Tabla1[[#This Row],[tamanho]]=$I$6,$L$6,0))))*IF(C667="8_1",9,25))</f>
        <v>4.1190647430851514E-7</v>
      </c>
    </row>
    <row r="668" spans="1:6" ht="12.75" x14ac:dyDescent="0.2">
      <c r="A668" s="1">
        <v>27</v>
      </c>
      <c r="B668" s="1">
        <v>4</v>
      </c>
      <c r="C668" s="1" t="s">
        <v>5</v>
      </c>
      <c r="D668" s="1" t="s">
        <v>6</v>
      </c>
      <c r="E668" s="1">
        <v>6.8133552074432302</v>
      </c>
      <c r="F668" s="1">
        <f>Tabla1[[#This Row],[tiempo]]/(IF(Tabla1[[#This Row],[tamanho]]=$I$3,$L$3,IF(Tabla1[[#This Row],[tamanho]]=$I$4,$L$4,IF(Tabla1[[#This Row],[tamanho]]=$I$5,$L$5,IF(Tabla1[[#This Row],[tamanho]]=$I$6,$L$6,0))))*IF(C668="8_1",9,25))</f>
        <v>1.0288616212405932E-6</v>
      </c>
    </row>
    <row r="669" spans="1:6" ht="12.75" x14ac:dyDescent="0.2">
      <c r="A669" s="1">
        <v>27</v>
      </c>
      <c r="B669" s="1">
        <v>4</v>
      </c>
      <c r="C669" s="1" t="s">
        <v>7</v>
      </c>
      <c r="D669" s="1" t="s">
        <v>6</v>
      </c>
      <c r="E669" s="1">
        <v>7.6407229900360099</v>
      </c>
      <c r="F669" s="1">
        <f>Tabla1[[#This Row],[tiempo]]/(IF(Tabla1[[#This Row],[tamanho]]=$I$3,$L$3,IF(Tabla1[[#This Row],[tamanho]]=$I$4,$L$4,IF(Tabla1[[#This Row],[tamanho]]=$I$5,$L$5,IF(Tabla1[[#This Row],[tamanho]]=$I$6,$L$6,0))))*IF(C669="8_1",9,25))</f>
        <v>4.1536786286742566E-7</v>
      </c>
    </row>
    <row r="670" spans="1:6" ht="12.75" x14ac:dyDescent="0.2">
      <c r="A670" s="1">
        <v>27</v>
      </c>
      <c r="B670" s="1">
        <v>4</v>
      </c>
      <c r="C670" s="1" t="s">
        <v>8</v>
      </c>
      <c r="D670" s="1" t="s">
        <v>6</v>
      </c>
      <c r="E670" s="1">
        <v>7.6551580429077104</v>
      </c>
      <c r="F670" s="1">
        <f>Tabla1[[#This Row],[tiempo]]/(IF(Tabla1[[#This Row],[tamanho]]=$I$3,$L$3,IF(Tabla1[[#This Row],[tamanho]]=$I$4,$L$4,IF(Tabla1[[#This Row],[tamanho]]=$I$5,$L$5,IF(Tabla1[[#This Row],[tamanho]]=$I$6,$L$6,0))))*IF(C670="8_1",9,25))</f>
        <v>4.1615258665200932E-7</v>
      </c>
    </row>
    <row r="671" spans="1:6" ht="12.75" x14ac:dyDescent="0.2">
      <c r="A671" s="1">
        <v>27</v>
      </c>
      <c r="B671" s="1">
        <v>4</v>
      </c>
      <c r="C671" s="1" t="s">
        <v>5</v>
      </c>
      <c r="D671" s="1" t="s">
        <v>9</v>
      </c>
      <c r="E671" s="1">
        <v>6.8023688793182302</v>
      </c>
      <c r="F671" s="1">
        <f>Tabla1[[#This Row],[tiempo]]/(IF(Tabla1[[#This Row],[tamanho]]=$I$3,$L$3,IF(Tabla1[[#This Row],[tamanho]]=$I$4,$L$4,IF(Tabla1[[#This Row],[tamanho]]=$I$5,$L$5,IF(Tabla1[[#This Row],[tamanho]]=$I$6,$L$6,0))))*IF(C671="8_1",9,25))</f>
        <v>1.0272026131569079E-6</v>
      </c>
    </row>
    <row r="672" spans="1:6" ht="12.75" x14ac:dyDescent="0.2">
      <c r="A672" s="1">
        <v>27</v>
      </c>
      <c r="B672" s="1">
        <v>4</v>
      </c>
      <c r="C672" s="1" t="s">
        <v>7</v>
      </c>
      <c r="D672" s="1" t="s">
        <v>9</v>
      </c>
      <c r="E672" s="1">
        <v>7.6559531688690097</v>
      </c>
      <c r="F672" s="1">
        <f>Tabla1[[#This Row],[tiempo]]/(IF(Tabla1[[#This Row],[tamanho]]=$I$3,$L$3,IF(Tabla1[[#This Row],[tamanho]]=$I$4,$L$4,IF(Tabla1[[#This Row],[tamanho]]=$I$5,$L$5,IF(Tabla1[[#This Row],[tamanho]]=$I$6,$L$6,0))))*IF(C672="8_1",9,25))</f>
        <v>4.1619581158918948E-7</v>
      </c>
    </row>
    <row r="673" spans="1:6" ht="12.75" x14ac:dyDescent="0.2">
      <c r="A673" s="1">
        <v>27</v>
      </c>
      <c r="B673" s="1">
        <v>4</v>
      </c>
      <c r="C673" s="1" t="s">
        <v>8</v>
      </c>
      <c r="D673" s="1" t="s">
        <v>9</v>
      </c>
      <c r="E673" s="1">
        <v>7.6600573062896702</v>
      </c>
      <c r="F673" s="1">
        <f>Tabla1[[#This Row],[tiempo]]/(IF(Tabla1[[#This Row],[tamanho]]=$I$3,$L$3,IF(Tabla1[[#This Row],[tamanho]]=$I$4,$L$4,IF(Tabla1[[#This Row],[tamanho]]=$I$5,$L$5,IF(Tabla1[[#This Row],[tamanho]]=$I$6,$L$6,0))))*IF(C673="8_1",9,25))</f>
        <v>4.1641892225444422E-7</v>
      </c>
    </row>
    <row r="674" spans="1:6" ht="12.75" x14ac:dyDescent="0.2">
      <c r="A674" s="1">
        <v>28</v>
      </c>
      <c r="B674" s="1">
        <v>1</v>
      </c>
      <c r="C674" s="1" t="s">
        <v>5</v>
      </c>
      <c r="D674" s="1" t="s">
        <v>6</v>
      </c>
      <c r="E674" s="1">
        <v>0.40557265281677202</v>
      </c>
      <c r="F674" s="1">
        <f>Tabla1[[#This Row],[tiempo]]/(IF(Tabla1[[#This Row],[tamanho]]=$I$3,$L$3,IF(Tabla1[[#This Row],[tamanho]]=$I$4,$L$4,IF(Tabla1[[#This Row],[tamanho]]=$I$5,$L$5,IF(Tabla1[[#This Row],[tamanho]]=$I$6,$L$6,0))))*IF(C674="8_1",9,25))</f>
        <v>1.6714375613201456E-6</v>
      </c>
    </row>
    <row r="675" spans="1:6" ht="12.75" x14ac:dyDescent="0.2">
      <c r="A675" s="1">
        <v>28</v>
      </c>
      <c r="B675" s="1">
        <v>1</v>
      </c>
      <c r="C675" s="1" t="s">
        <v>7</v>
      </c>
      <c r="D675" s="1" t="s">
        <v>6</v>
      </c>
      <c r="E675" s="1">
        <v>0.454030752182006</v>
      </c>
      <c r="F675" s="1">
        <f>Tabla1[[#This Row],[tiempo]]/(IF(Tabla1[[#This Row],[tamanho]]=$I$3,$L$3,IF(Tabla1[[#This Row],[tamanho]]=$I$4,$L$4,IF(Tabla1[[#This Row],[tamanho]]=$I$5,$L$5,IF(Tabla1[[#This Row],[tamanho]]=$I$6,$L$6,0))))*IF(C675="8_1",9,25))</f>
        <v>6.7361114525723234E-7</v>
      </c>
    </row>
    <row r="676" spans="1:6" ht="12.75" x14ac:dyDescent="0.2">
      <c r="A676" s="1">
        <v>28</v>
      </c>
      <c r="B676" s="1">
        <v>1</v>
      </c>
      <c r="C676" s="1" t="s">
        <v>8</v>
      </c>
      <c r="D676" s="1" t="s">
        <v>6</v>
      </c>
      <c r="E676" s="1">
        <v>0.45791411399841297</v>
      </c>
      <c r="F676" s="1">
        <f>Tabla1[[#This Row],[tiempo]]/(IF(Tabla1[[#This Row],[tamanho]]=$I$3,$L$3,IF(Tabla1[[#This Row],[tamanho]]=$I$4,$L$4,IF(Tabla1[[#This Row],[tamanho]]=$I$5,$L$5,IF(Tabla1[[#This Row],[tamanho]]=$I$6,$L$6,0))))*IF(C676="8_1",9,25))</f>
        <v>6.7937259596960499E-7</v>
      </c>
    </row>
    <row r="677" spans="1:6" ht="12.75" x14ac:dyDescent="0.2">
      <c r="A677" s="1">
        <v>28</v>
      </c>
      <c r="B677" s="1">
        <v>1</v>
      </c>
      <c r="C677" s="1" t="s">
        <v>5</v>
      </c>
      <c r="D677" s="1" t="s">
        <v>9</v>
      </c>
      <c r="E677" s="1">
        <v>0.40657615661620999</v>
      </c>
      <c r="F677" s="1">
        <f>Tabla1[[#This Row],[tiempo]]/(IF(Tabla1[[#This Row],[tamanho]]=$I$3,$L$3,IF(Tabla1[[#This Row],[tamanho]]=$I$4,$L$4,IF(Tabla1[[#This Row],[tamanho]]=$I$5,$L$5,IF(Tabla1[[#This Row],[tamanho]]=$I$6,$L$6,0))))*IF(C677="8_1",9,25))</f>
        <v>1.6755731802571202E-6</v>
      </c>
    </row>
    <row r="678" spans="1:6" ht="12.75" x14ac:dyDescent="0.2">
      <c r="A678" s="1">
        <v>28</v>
      </c>
      <c r="B678" s="1">
        <v>1</v>
      </c>
      <c r="C678" s="1" t="s">
        <v>7</v>
      </c>
      <c r="D678" s="1" t="s">
        <v>9</v>
      </c>
      <c r="E678" s="1">
        <v>0.454823017120361</v>
      </c>
      <c r="F678" s="1">
        <f>Tabla1[[#This Row],[tiempo]]/(IF(Tabla1[[#This Row],[tamanho]]=$I$3,$L$3,IF(Tabla1[[#This Row],[tamanho]]=$I$4,$L$4,IF(Tabla1[[#This Row],[tamanho]]=$I$5,$L$5,IF(Tabla1[[#This Row],[tamanho]]=$I$6,$L$6,0))))*IF(C678="8_1",9,25))</f>
        <v>6.7478656892602053E-7</v>
      </c>
    </row>
    <row r="679" spans="1:6" ht="12.75" x14ac:dyDescent="0.2">
      <c r="A679" s="1">
        <v>28</v>
      </c>
      <c r="B679" s="1">
        <v>1</v>
      </c>
      <c r="C679" s="1" t="s">
        <v>8</v>
      </c>
      <c r="D679" s="1" t="s">
        <v>9</v>
      </c>
      <c r="E679" s="1">
        <v>0.46188807487487699</v>
      </c>
      <c r="F679" s="1">
        <f>Tabla1[[#This Row],[tiempo]]/(IF(Tabla1[[#This Row],[tamanho]]=$I$3,$L$3,IF(Tabla1[[#This Row],[tamanho]]=$I$4,$L$4,IF(Tabla1[[#This Row],[tamanho]]=$I$5,$L$5,IF(Tabla1[[#This Row],[tamanho]]=$I$6,$L$6,0))))*IF(C679="8_1",9,25))</f>
        <v>6.8526846166666964E-7</v>
      </c>
    </row>
    <row r="680" spans="1:6" ht="12.75" x14ac:dyDescent="0.2">
      <c r="A680" s="1">
        <v>28</v>
      </c>
      <c r="B680" s="1">
        <v>2</v>
      </c>
      <c r="C680" s="1" t="s">
        <v>5</v>
      </c>
      <c r="D680" s="1" t="s">
        <v>6</v>
      </c>
      <c r="E680" s="1">
        <v>1.6622958183288501</v>
      </c>
      <c r="F680" s="1">
        <f>Tabla1[[#This Row],[tiempo]]/(IF(Tabla1[[#This Row],[tamanho]]=$I$3,$L$3,IF(Tabla1[[#This Row],[tamanho]]=$I$4,$L$4,IF(Tabla1[[#This Row],[tamanho]]=$I$5,$L$5,IF(Tabla1[[#This Row],[tamanho]]=$I$6,$L$6,0))))*IF(C680="8_1",9,25))</f>
        <v>1.0064163172255763E-6</v>
      </c>
    </row>
    <row r="681" spans="1:6" ht="12.75" x14ac:dyDescent="0.2">
      <c r="A681" s="1">
        <v>28</v>
      </c>
      <c r="B681" s="1">
        <v>2</v>
      </c>
      <c r="C681" s="1" t="s">
        <v>7</v>
      </c>
      <c r="D681" s="1" t="s">
        <v>6</v>
      </c>
      <c r="E681" s="1">
        <v>1.86223268508911</v>
      </c>
      <c r="F681" s="1">
        <f>Tabla1[[#This Row],[tiempo]]/(IF(Tabla1[[#This Row],[tamanho]]=$I$3,$L$3,IF(Tabla1[[#This Row],[tamanho]]=$I$4,$L$4,IF(Tabla1[[#This Row],[tamanho]]=$I$5,$L$5,IF(Tabla1[[#This Row],[tamanho]]=$I$6,$L$6,0))))*IF(C681="8_1",9,25))</f>
        <v>4.0588761785270651E-7</v>
      </c>
    </row>
    <row r="682" spans="1:6" ht="12.75" x14ac:dyDescent="0.2">
      <c r="A682" s="1">
        <v>28</v>
      </c>
      <c r="B682" s="1">
        <v>2</v>
      </c>
      <c r="C682" s="1" t="s">
        <v>8</v>
      </c>
      <c r="D682" s="1" t="s">
        <v>6</v>
      </c>
      <c r="E682" s="1">
        <v>1.8768138885498</v>
      </c>
      <c r="F682" s="1">
        <f>Tabla1[[#This Row],[tiempo]]/(IF(Tabla1[[#This Row],[tamanho]]=$I$3,$L$3,IF(Tabla1[[#This Row],[tamanho]]=$I$4,$L$4,IF(Tabla1[[#This Row],[tamanho]]=$I$5,$L$5,IF(Tabla1[[#This Row],[tamanho]]=$I$6,$L$6,0))))*IF(C682="8_1",9,25))</f>
        <v>4.0906570079877072E-7</v>
      </c>
    </row>
    <row r="683" spans="1:6" ht="12.75" x14ac:dyDescent="0.2">
      <c r="A683" s="1">
        <v>28</v>
      </c>
      <c r="B683" s="1">
        <v>2</v>
      </c>
      <c r="C683" s="1" t="s">
        <v>5</v>
      </c>
      <c r="D683" s="1" t="s">
        <v>9</v>
      </c>
      <c r="E683" s="1">
        <v>1.6731138229370099</v>
      </c>
      <c r="F683" s="1">
        <f>Tabla1[[#This Row],[tiempo]]/(IF(Tabla1[[#This Row],[tamanho]]=$I$3,$L$3,IF(Tabla1[[#This Row],[tamanho]]=$I$4,$L$4,IF(Tabla1[[#This Row],[tamanho]]=$I$5,$L$5,IF(Tabla1[[#This Row],[tamanho]]=$I$6,$L$6,0))))*IF(C683="8_1",9,25))</f>
        <v>1.0129659434939135E-6</v>
      </c>
    </row>
    <row r="684" spans="1:6" ht="12.75" x14ac:dyDescent="0.2">
      <c r="A684" s="1">
        <v>28</v>
      </c>
      <c r="B684" s="1">
        <v>2</v>
      </c>
      <c r="C684" s="1" t="s">
        <v>7</v>
      </c>
      <c r="D684" s="1" t="s">
        <v>9</v>
      </c>
      <c r="E684" s="1">
        <v>1.8654980659484801</v>
      </c>
      <c r="F684" s="1">
        <f>Tabla1[[#This Row],[tiempo]]/(IF(Tabla1[[#This Row],[tamanho]]=$I$3,$L$3,IF(Tabla1[[#This Row],[tamanho]]=$I$4,$L$4,IF(Tabla1[[#This Row],[tamanho]]=$I$5,$L$5,IF(Tabla1[[#This Row],[tamanho]]=$I$6,$L$6,0))))*IF(C684="8_1",9,25))</f>
        <v>4.0659933216692935E-7</v>
      </c>
    </row>
    <row r="685" spans="1:6" ht="12.75" x14ac:dyDescent="0.2">
      <c r="A685" s="1">
        <v>28</v>
      </c>
      <c r="B685" s="1">
        <v>2</v>
      </c>
      <c r="C685" s="1" t="s">
        <v>8</v>
      </c>
      <c r="D685" s="1" t="s">
        <v>9</v>
      </c>
      <c r="E685" s="1">
        <v>1.8900954723358101</v>
      </c>
      <c r="F685" s="1">
        <f>Tabla1[[#This Row],[tiempo]]/(IF(Tabla1[[#This Row],[tamanho]]=$I$3,$L$3,IF(Tabla1[[#This Row],[tamanho]]=$I$4,$L$4,IF(Tabla1[[#This Row],[tamanho]]=$I$5,$L$5,IF(Tabla1[[#This Row],[tamanho]]=$I$6,$L$6,0))))*IF(C685="8_1",9,25))</f>
        <v>4.1196052186349543E-7</v>
      </c>
    </row>
    <row r="686" spans="1:6" ht="12.75" x14ac:dyDescent="0.2">
      <c r="A686" s="1">
        <v>28</v>
      </c>
      <c r="B686" s="1">
        <v>3</v>
      </c>
      <c r="C686" s="1" t="s">
        <v>5</v>
      </c>
      <c r="D686" s="1" t="s">
        <v>6</v>
      </c>
      <c r="E686" s="1">
        <v>3.7639122009277299</v>
      </c>
      <c r="F686" s="1">
        <f>Tabla1[[#This Row],[tiempo]]/(IF(Tabla1[[#This Row],[tamanho]]=$I$3,$L$3,IF(Tabla1[[#This Row],[tamanho]]=$I$4,$L$4,IF(Tabla1[[#This Row],[tamanho]]=$I$5,$L$5,IF(Tabla1[[#This Row],[tamanho]]=$I$6,$L$6,0))))*IF(C686="8_1",9,25))</f>
        <v>1.0120010423874667E-6</v>
      </c>
    </row>
    <row r="687" spans="1:6" ht="12.75" x14ac:dyDescent="0.2">
      <c r="A687" s="1">
        <v>28</v>
      </c>
      <c r="B687" s="1">
        <v>3</v>
      </c>
      <c r="C687" s="1" t="s">
        <v>7</v>
      </c>
      <c r="D687" s="1" t="s">
        <v>6</v>
      </c>
      <c r="E687" s="1">
        <v>4.2178251743316597</v>
      </c>
      <c r="F687" s="1">
        <f>Tabla1[[#This Row],[tiempo]]/(IF(Tabla1[[#This Row],[tamanho]]=$I$3,$L$3,IF(Tabla1[[#This Row],[tamanho]]=$I$4,$L$4,IF(Tabla1[[#This Row],[tamanho]]=$I$5,$L$5,IF(Tabla1[[#This Row],[tamanho]]=$I$6,$L$6,0))))*IF(C687="8_1",9,25))</f>
        <v>4.0825597629845734E-7</v>
      </c>
    </row>
    <row r="688" spans="1:6" ht="12.75" x14ac:dyDescent="0.2">
      <c r="A688" s="1">
        <v>28</v>
      </c>
      <c r="B688" s="1">
        <v>3</v>
      </c>
      <c r="C688" s="1" t="s">
        <v>8</v>
      </c>
      <c r="D688" s="1" t="s">
        <v>6</v>
      </c>
      <c r="E688" s="1">
        <v>4.31292295455932</v>
      </c>
      <c r="F688" s="1">
        <f>Tabla1[[#This Row],[tiempo]]/(IF(Tabla1[[#This Row],[tamanho]]=$I$3,$L$3,IF(Tabla1[[#This Row],[tamanho]]=$I$4,$L$4,IF(Tabla1[[#This Row],[tamanho]]=$I$5,$L$5,IF(Tabla1[[#This Row],[tamanho]]=$I$6,$L$6,0))))*IF(C688="8_1",9,25))</f>
        <v>4.1746077628564777E-7</v>
      </c>
    </row>
    <row r="689" spans="1:6" ht="12.75" x14ac:dyDescent="0.2">
      <c r="A689" s="1">
        <v>28</v>
      </c>
      <c r="B689" s="1">
        <v>3</v>
      </c>
      <c r="C689" s="1" t="s">
        <v>5</v>
      </c>
      <c r="D689" s="1" t="s">
        <v>9</v>
      </c>
      <c r="E689" s="1">
        <v>3.8043217658996502</v>
      </c>
      <c r="F689" s="1">
        <f>Tabla1[[#This Row],[tiempo]]/(IF(Tabla1[[#This Row],[tamanho]]=$I$3,$L$3,IF(Tabla1[[#This Row],[tamanho]]=$I$4,$L$4,IF(Tabla1[[#This Row],[tamanho]]=$I$5,$L$5,IF(Tabla1[[#This Row],[tamanho]]=$I$6,$L$6,0))))*IF(C689="8_1",9,25))</f>
        <v>1.0228659403157255E-6</v>
      </c>
    </row>
    <row r="690" spans="1:6" ht="12.75" x14ac:dyDescent="0.2">
      <c r="A690" s="1">
        <v>28</v>
      </c>
      <c r="B690" s="1">
        <v>3</v>
      </c>
      <c r="C690" s="1" t="s">
        <v>7</v>
      </c>
      <c r="D690" s="1" t="s">
        <v>9</v>
      </c>
      <c r="E690" s="1">
        <v>4.28271484375</v>
      </c>
      <c r="F690" s="1">
        <f>Tabla1[[#This Row],[tiempo]]/(IF(Tabla1[[#This Row],[tamanho]]=$I$3,$L$3,IF(Tabla1[[#This Row],[tamanho]]=$I$4,$L$4,IF(Tabla1[[#This Row],[tamanho]]=$I$5,$L$5,IF(Tabla1[[#This Row],[tamanho]]=$I$6,$L$6,0))))*IF(C690="8_1",9,25))</f>
        <v>4.1453684244276507E-7</v>
      </c>
    </row>
    <row r="691" spans="1:6" ht="12.75" x14ac:dyDescent="0.2">
      <c r="A691" s="1">
        <v>28</v>
      </c>
      <c r="B691" s="1">
        <v>3</v>
      </c>
      <c r="C691" s="1" t="s">
        <v>8</v>
      </c>
      <c r="D691" s="1" t="s">
        <v>9</v>
      </c>
      <c r="E691" s="1">
        <v>4.2923769950866699</v>
      </c>
      <c r="F691" s="1">
        <f>Tabla1[[#This Row],[tiempo]]/(IF(Tabla1[[#This Row],[tamanho]]=$I$3,$L$3,IF(Tabla1[[#This Row],[tamanho]]=$I$4,$L$4,IF(Tabla1[[#This Row],[tamanho]]=$I$5,$L$5,IF(Tabla1[[#This Row],[tamanho]]=$I$6,$L$6,0))))*IF(C691="8_1",9,25))</f>
        <v>4.1547207111253108E-7</v>
      </c>
    </row>
    <row r="692" spans="1:6" ht="12.75" x14ac:dyDescent="0.2">
      <c r="A692" s="1">
        <v>28</v>
      </c>
      <c r="B692" s="1">
        <v>4</v>
      </c>
      <c r="C692" s="1" t="s">
        <v>5</v>
      </c>
      <c r="D692" s="1" t="s">
        <v>6</v>
      </c>
      <c r="E692" s="1">
        <v>6.80857133865356</v>
      </c>
      <c r="F692" s="1">
        <f>Tabla1[[#This Row],[tiempo]]/(IF(Tabla1[[#This Row],[tamanho]]=$I$3,$L$3,IF(Tabla1[[#This Row],[tamanho]]=$I$4,$L$4,IF(Tabla1[[#This Row],[tamanho]]=$I$5,$L$5,IF(Tabla1[[#This Row],[tamanho]]=$I$6,$L$6,0))))*IF(C692="8_1",9,25))</f>
        <v>1.0281392254680427E-6</v>
      </c>
    </row>
    <row r="693" spans="1:6" ht="12.75" x14ac:dyDescent="0.2">
      <c r="A693" s="1">
        <v>28</v>
      </c>
      <c r="B693" s="1">
        <v>4</v>
      </c>
      <c r="C693" s="1" t="s">
        <v>7</v>
      </c>
      <c r="D693" s="1" t="s">
        <v>6</v>
      </c>
      <c r="E693" s="1">
        <v>7.6067545413970903</v>
      </c>
      <c r="F693" s="1">
        <f>Tabla1[[#This Row],[tiempo]]/(IF(Tabla1[[#This Row],[tamanho]]=$I$3,$L$3,IF(Tabla1[[#This Row],[tamanho]]=$I$4,$L$4,IF(Tabla1[[#This Row],[tamanho]]=$I$5,$L$5,IF(Tabla1[[#This Row],[tamanho]]=$I$6,$L$6,0))))*IF(C693="8_1",9,25))</f>
        <v>4.1352125726027705E-7</v>
      </c>
    </row>
    <row r="694" spans="1:6" ht="12.75" x14ac:dyDescent="0.2">
      <c r="A694" s="1">
        <v>28</v>
      </c>
      <c r="B694" s="1">
        <v>4</v>
      </c>
      <c r="C694" s="1" t="s">
        <v>8</v>
      </c>
      <c r="D694" s="1" t="s">
        <v>6</v>
      </c>
      <c r="E694" s="1">
        <v>7.6702387332916198</v>
      </c>
      <c r="F694" s="1">
        <f>Tabla1[[#This Row],[tiempo]]/(IF(Tabla1[[#This Row],[tamanho]]=$I$3,$L$3,IF(Tabla1[[#This Row],[tamanho]]=$I$4,$L$4,IF(Tabla1[[#This Row],[tamanho]]=$I$5,$L$5,IF(Tabla1[[#This Row],[tamanho]]=$I$6,$L$6,0))))*IF(C694="8_1",9,25))</f>
        <v>4.1697240882636355E-7</v>
      </c>
    </row>
    <row r="695" spans="1:6" ht="12.75" x14ac:dyDescent="0.2">
      <c r="A695" s="1">
        <v>28</v>
      </c>
      <c r="B695" s="1">
        <v>4</v>
      </c>
      <c r="C695" s="1" t="s">
        <v>5</v>
      </c>
      <c r="D695" s="1" t="s">
        <v>9</v>
      </c>
      <c r="E695" s="1">
        <v>6.7808520793914697</v>
      </c>
      <c r="F695" s="1">
        <f>Tabla1[[#This Row],[tiempo]]/(IF(Tabla1[[#This Row],[tamanho]]=$I$3,$L$3,IF(Tabla1[[#This Row],[tamanho]]=$I$4,$L$4,IF(Tabla1[[#This Row],[tamanho]]=$I$5,$L$5,IF(Tabla1[[#This Row],[tamanho]]=$I$6,$L$6,0))))*IF(C695="8_1",9,25))</f>
        <v>1.0239534343041201E-6</v>
      </c>
    </row>
    <row r="696" spans="1:6" ht="12.75" x14ac:dyDescent="0.2">
      <c r="A696" s="1">
        <v>28</v>
      </c>
      <c r="B696" s="1">
        <v>4</v>
      </c>
      <c r="C696" s="1" t="s">
        <v>7</v>
      </c>
      <c r="D696" s="1" t="s">
        <v>9</v>
      </c>
      <c r="E696" s="1">
        <v>7.5746347904205296</v>
      </c>
      <c r="F696" s="1">
        <f>Tabla1[[#This Row],[tiempo]]/(IF(Tabla1[[#This Row],[tamanho]]=$I$3,$L$3,IF(Tabla1[[#This Row],[tamanho]]=$I$4,$L$4,IF(Tabla1[[#This Row],[tamanho]]=$I$5,$L$5,IF(Tabla1[[#This Row],[tamanho]]=$I$6,$L$6,0))))*IF(C696="8_1",9,25))</f>
        <v>4.1177515125219817E-7</v>
      </c>
    </row>
    <row r="697" spans="1:6" ht="12.75" x14ac:dyDescent="0.2">
      <c r="A697" s="1">
        <v>28</v>
      </c>
      <c r="B697" s="1">
        <v>4</v>
      </c>
      <c r="C697" s="1" t="s">
        <v>8</v>
      </c>
      <c r="D697" s="1" t="s">
        <v>9</v>
      </c>
      <c r="E697" s="1">
        <v>7.6528639793395996</v>
      </c>
      <c r="F697" s="1">
        <f>Tabla1[[#This Row],[tiempo]]/(IF(Tabla1[[#This Row],[tamanho]]=$I$3,$L$3,IF(Tabla1[[#This Row],[tamanho]]=$I$4,$L$4,IF(Tabla1[[#This Row],[tamanho]]=$I$5,$L$5,IF(Tabla1[[#This Row],[tamanho]]=$I$6,$L$6,0))))*IF(C697="8_1",9,25))</f>
        <v>4.160278759037188E-7</v>
      </c>
    </row>
    <row r="698" spans="1:6" ht="12.75" x14ac:dyDescent="0.2">
      <c r="A698" s="1">
        <v>29</v>
      </c>
      <c r="B698" s="1">
        <v>1</v>
      </c>
      <c r="C698" s="1" t="s">
        <v>5</v>
      </c>
      <c r="D698" s="1" t="s">
        <v>6</v>
      </c>
      <c r="E698" s="1">
        <v>0.40583562850952098</v>
      </c>
      <c r="F698" s="1">
        <f>Tabla1[[#This Row],[tiempo]]/(IF(Tabla1[[#This Row],[tamanho]]=$I$3,$L$3,IF(Tabla1[[#This Row],[tamanho]]=$I$4,$L$4,IF(Tabla1[[#This Row],[tamanho]]=$I$5,$L$5,IF(Tabla1[[#This Row],[tamanho]]=$I$6,$L$6,0))))*IF(C698="8_1",9,25))</f>
        <v>1.6725213312625273E-6</v>
      </c>
    </row>
    <row r="699" spans="1:6" ht="12.75" x14ac:dyDescent="0.2">
      <c r="A699" s="1">
        <v>29</v>
      </c>
      <c r="B699" s="1">
        <v>1</v>
      </c>
      <c r="C699" s="1" t="s">
        <v>7</v>
      </c>
      <c r="D699" s="1" t="s">
        <v>6</v>
      </c>
      <c r="E699" s="1">
        <v>0.45164060592651301</v>
      </c>
      <c r="F699" s="1">
        <f>Tabla1[[#This Row],[tiempo]]/(IF(Tabla1[[#This Row],[tamanho]]=$I$3,$L$3,IF(Tabla1[[#This Row],[tamanho]]=$I$4,$L$4,IF(Tabla1[[#This Row],[tamanho]]=$I$5,$L$5,IF(Tabla1[[#This Row],[tamanho]]=$I$6,$L$6,0))))*IF(C699="8_1",9,25))</f>
        <v>6.7006506572680981E-7</v>
      </c>
    </row>
    <row r="700" spans="1:6" ht="12.75" x14ac:dyDescent="0.2">
      <c r="A700" s="1">
        <v>29</v>
      </c>
      <c r="B700" s="1">
        <v>1</v>
      </c>
      <c r="C700" s="1" t="s">
        <v>8</v>
      </c>
      <c r="D700" s="1" t="s">
        <v>6</v>
      </c>
      <c r="E700" s="1">
        <v>0.455642700195312</v>
      </c>
      <c r="F700" s="1">
        <f>Tabla1[[#This Row],[tiempo]]/(IF(Tabla1[[#This Row],[tamanho]]=$I$3,$L$3,IF(Tabla1[[#This Row],[tamanho]]=$I$4,$L$4,IF(Tabla1[[#This Row],[tamanho]]=$I$5,$L$5,IF(Tabla1[[#This Row],[tamanho]]=$I$6,$L$6,0))))*IF(C700="8_1",9,25))</f>
        <v>6.7600267081385998E-7</v>
      </c>
    </row>
    <row r="701" spans="1:6" ht="12.75" x14ac:dyDescent="0.2">
      <c r="A701" s="1">
        <v>29</v>
      </c>
      <c r="B701" s="1">
        <v>1</v>
      </c>
      <c r="C701" s="1" t="s">
        <v>5</v>
      </c>
      <c r="D701" s="1" t="s">
        <v>9</v>
      </c>
      <c r="E701" s="1">
        <v>0.40503835678100503</v>
      </c>
      <c r="F701" s="1">
        <f>Tabla1[[#This Row],[tiempo]]/(IF(Tabla1[[#This Row],[tamanho]]=$I$3,$L$3,IF(Tabla1[[#This Row],[tamanho]]=$I$4,$L$4,IF(Tabla1[[#This Row],[tamanho]]=$I$5,$L$5,IF(Tabla1[[#This Row],[tamanho]]=$I$6,$L$6,0))))*IF(C701="8_1",9,25))</f>
        <v>1.6692356316366645E-6</v>
      </c>
    </row>
    <row r="702" spans="1:6" ht="12.75" x14ac:dyDescent="0.2">
      <c r="A702" s="1">
        <v>29</v>
      </c>
      <c r="B702" s="1">
        <v>1</v>
      </c>
      <c r="C702" s="1" t="s">
        <v>7</v>
      </c>
      <c r="D702" s="1" t="s">
        <v>9</v>
      </c>
      <c r="E702" s="1">
        <v>0.453724145889282</v>
      </c>
      <c r="F702" s="1">
        <f>Tabla1[[#This Row],[tiempo]]/(IF(Tabla1[[#This Row],[tamanho]]=$I$3,$L$3,IF(Tabla1[[#This Row],[tamanho]]=$I$4,$L$4,IF(Tabla1[[#This Row],[tamanho]]=$I$5,$L$5,IF(Tabla1[[#This Row],[tamanho]]=$I$6,$L$6,0))))*IF(C702="8_1",9,25))</f>
        <v>6.7315625665113614E-7</v>
      </c>
    </row>
    <row r="703" spans="1:6" ht="12.75" x14ac:dyDescent="0.2">
      <c r="A703" s="1">
        <v>29</v>
      </c>
      <c r="B703" s="1">
        <v>1</v>
      </c>
      <c r="C703" s="1" t="s">
        <v>8</v>
      </c>
      <c r="D703" s="1" t="s">
        <v>9</v>
      </c>
      <c r="E703" s="1">
        <v>0.46139574050903298</v>
      </c>
      <c r="F703" s="1">
        <f>Tabla1[[#This Row],[tiempo]]/(IF(Tabla1[[#This Row],[tamanho]]=$I$3,$L$3,IF(Tabla1[[#This Row],[tamanho]]=$I$4,$L$4,IF(Tabla1[[#This Row],[tamanho]]=$I$5,$L$5,IF(Tabla1[[#This Row],[tamanho]]=$I$6,$L$6,0))))*IF(C703="8_1",9,25))</f>
        <v>6.845380223419502E-7</v>
      </c>
    </row>
    <row r="704" spans="1:6" ht="12.75" x14ac:dyDescent="0.2">
      <c r="A704" s="1">
        <v>29</v>
      </c>
      <c r="B704" s="1">
        <v>2</v>
      </c>
      <c r="C704" s="1" t="s">
        <v>5</v>
      </c>
      <c r="D704" s="1" t="s">
        <v>6</v>
      </c>
      <c r="E704" s="1">
        <v>1.6697790622711099</v>
      </c>
      <c r="F704" s="1">
        <f>Tabla1[[#This Row],[tiempo]]/(IF(Tabla1[[#This Row],[tamanho]]=$I$3,$L$3,IF(Tabla1[[#This Row],[tamanho]]=$I$4,$L$4,IF(Tabla1[[#This Row],[tamanho]]=$I$5,$L$5,IF(Tabla1[[#This Row],[tamanho]]=$I$6,$L$6,0))))*IF(C704="8_1",9,25))</f>
        <v>1.0109469541472533E-6</v>
      </c>
    </row>
    <row r="705" spans="1:6" ht="12.75" x14ac:dyDescent="0.2">
      <c r="A705" s="1">
        <v>29</v>
      </c>
      <c r="B705" s="1">
        <v>2</v>
      </c>
      <c r="C705" s="1" t="s">
        <v>7</v>
      </c>
      <c r="D705" s="1" t="s">
        <v>6</v>
      </c>
      <c r="E705" s="1">
        <v>1.8738541603088299</v>
      </c>
      <c r="F705" s="1">
        <f>Tabla1[[#This Row],[tiempo]]/(IF(Tabla1[[#This Row],[tamanho]]=$I$3,$L$3,IF(Tabla1[[#This Row],[tamanho]]=$I$4,$L$4,IF(Tabla1[[#This Row],[tamanho]]=$I$5,$L$5,IF(Tabla1[[#This Row],[tamanho]]=$I$6,$L$6,0))))*IF(C705="8_1",9,25))</f>
        <v>4.084206057712601E-7</v>
      </c>
    </row>
    <row r="706" spans="1:6" ht="12.75" x14ac:dyDescent="0.2">
      <c r="A706" s="1">
        <v>29</v>
      </c>
      <c r="B706" s="1">
        <v>2</v>
      </c>
      <c r="C706" s="1" t="s">
        <v>8</v>
      </c>
      <c r="D706" s="1" t="s">
        <v>6</v>
      </c>
      <c r="E706" s="1">
        <v>1.8589389324188199</v>
      </c>
      <c r="F706" s="1">
        <f>Tabla1[[#This Row],[tiempo]]/(IF(Tabla1[[#This Row],[tamanho]]=$I$3,$L$3,IF(Tabla1[[#This Row],[tamanho]]=$I$4,$L$4,IF(Tabla1[[#This Row],[tamanho]]=$I$5,$L$5,IF(Tabla1[[#This Row],[tamanho]]=$I$6,$L$6,0))))*IF(C706="8_1",9,25))</f>
        <v>4.0516971968893537E-7</v>
      </c>
    </row>
    <row r="707" spans="1:6" ht="12.75" x14ac:dyDescent="0.2">
      <c r="A707" s="1">
        <v>29</v>
      </c>
      <c r="B707" s="1">
        <v>2</v>
      </c>
      <c r="C707" s="1" t="s">
        <v>5</v>
      </c>
      <c r="D707" s="1" t="s">
        <v>9</v>
      </c>
      <c r="E707" s="1">
        <v>1.6577291488647401</v>
      </c>
      <c r="F707" s="1">
        <f>Tabla1[[#This Row],[tiempo]]/(IF(Tabla1[[#This Row],[tamanho]]=$I$3,$L$3,IF(Tabla1[[#This Row],[tamanho]]=$I$4,$L$4,IF(Tabla1[[#This Row],[tamanho]]=$I$5,$L$5,IF(Tabla1[[#This Row],[tamanho]]=$I$6,$L$6,0))))*IF(C707="8_1",9,25))</f>
        <v>1.0036514840271891E-6</v>
      </c>
    </row>
    <row r="708" spans="1:6" ht="12.75" x14ac:dyDescent="0.2">
      <c r="A708" s="1">
        <v>29</v>
      </c>
      <c r="B708" s="1">
        <v>2</v>
      </c>
      <c r="C708" s="1" t="s">
        <v>7</v>
      </c>
      <c r="D708" s="1" t="s">
        <v>9</v>
      </c>
      <c r="E708" s="1">
        <v>1.8476021289825399</v>
      </c>
      <c r="F708" s="1">
        <f>Tabla1[[#This Row],[tiempo]]/(IF(Tabla1[[#This Row],[tamanho]]=$I$3,$L$3,IF(Tabla1[[#This Row],[tamanho]]=$I$4,$L$4,IF(Tabla1[[#This Row],[tamanho]]=$I$5,$L$5,IF(Tabla1[[#This Row],[tamanho]]=$I$6,$L$6,0))))*IF(C708="8_1",9,25))</f>
        <v>4.0269877812633691E-7</v>
      </c>
    </row>
    <row r="709" spans="1:6" ht="12.75" x14ac:dyDescent="0.2">
      <c r="A709" s="1">
        <v>29</v>
      </c>
      <c r="B709" s="1">
        <v>2</v>
      </c>
      <c r="C709" s="1" t="s">
        <v>8</v>
      </c>
      <c r="D709" s="1" t="s">
        <v>9</v>
      </c>
      <c r="E709" s="1">
        <v>1.8700029850006099</v>
      </c>
      <c r="F709" s="1">
        <f>Tabla1[[#This Row],[tiempo]]/(IF(Tabla1[[#This Row],[tamanho]]=$I$3,$L$3,IF(Tabla1[[#This Row],[tamanho]]=$I$4,$L$4,IF(Tabla1[[#This Row],[tamanho]]=$I$5,$L$5,IF(Tabla1[[#This Row],[tamanho]]=$I$6,$L$6,0))))*IF(C709="8_1",9,25))</f>
        <v>4.0758121315168968E-7</v>
      </c>
    </row>
    <row r="710" spans="1:6" ht="12.75" x14ac:dyDescent="0.2">
      <c r="A710" s="1">
        <v>29</v>
      </c>
      <c r="B710" s="1">
        <v>3</v>
      </c>
      <c r="C710" s="1" t="s">
        <v>5</v>
      </c>
      <c r="D710" s="1" t="s">
        <v>6</v>
      </c>
      <c r="E710" s="1">
        <v>3.7916765213012602</v>
      </c>
      <c r="F710" s="1">
        <f>Tabla1[[#This Row],[tiempo]]/(IF(Tabla1[[#This Row],[tamanho]]=$I$3,$L$3,IF(Tabla1[[#This Row],[tamanho]]=$I$4,$L$4,IF(Tabla1[[#This Row],[tamanho]]=$I$5,$L$5,IF(Tabla1[[#This Row],[tamanho]]=$I$6,$L$6,0))))*IF(C710="8_1",9,25))</f>
        <v>1.0194660202241619E-6</v>
      </c>
    </row>
    <row r="711" spans="1:6" ht="12.75" x14ac:dyDescent="0.2">
      <c r="A711" s="1">
        <v>29</v>
      </c>
      <c r="B711" s="1">
        <v>3</v>
      </c>
      <c r="C711" s="1" t="s">
        <v>7</v>
      </c>
      <c r="D711" s="1" t="s">
        <v>6</v>
      </c>
      <c r="E711" s="1">
        <v>4.2483499050140301</v>
      </c>
      <c r="F711" s="1">
        <f>Tabla1[[#This Row],[tiempo]]/(IF(Tabla1[[#This Row],[tamanho]]=$I$3,$L$3,IF(Tabla1[[#This Row],[tamanho]]=$I$4,$L$4,IF(Tabla1[[#This Row],[tamanho]]=$I$5,$L$5,IF(Tabla1[[#This Row],[tamanho]]=$I$6,$L$6,0))))*IF(C711="8_1",9,25))</f>
        <v>4.1121055673052875E-7</v>
      </c>
    </row>
    <row r="712" spans="1:6" ht="12.75" x14ac:dyDescent="0.2">
      <c r="A712" s="1">
        <v>29</v>
      </c>
      <c r="B712" s="1">
        <v>3</v>
      </c>
      <c r="C712" s="1" t="s">
        <v>8</v>
      </c>
      <c r="D712" s="1" t="s">
        <v>6</v>
      </c>
      <c r="E712" s="1">
        <v>4.3082704544067303</v>
      </c>
      <c r="F712" s="1">
        <f>Tabla1[[#This Row],[tiempo]]/(IF(Tabla1[[#This Row],[tamanho]]=$I$3,$L$3,IF(Tabla1[[#This Row],[tamanho]]=$I$4,$L$4,IF(Tabla1[[#This Row],[tamanho]]=$I$5,$L$5,IF(Tabla1[[#This Row],[tamanho]]=$I$6,$L$6,0))))*IF(C712="8_1",9,25))</f>
        <v>4.1701044681168486E-7</v>
      </c>
    </row>
    <row r="713" spans="1:6" ht="12.75" x14ac:dyDescent="0.2">
      <c r="A713" s="1">
        <v>29</v>
      </c>
      <c r="B713" s="1">
        <v>3</v>
      </c>
      <c r="C713" s="1" t="s">
        <v>5</v>
      </c>
      <c r="D713" s="1" t="s">
        <v>9</v>
      </c>
      <c r="E713" s="1">
        <v>3.8030591011047301</v>
      </c>
      <c r="F713" s="1">
        <f>Tabla1[[#This Row],[tiempo]]/(IF(Tabla1[[#This Row],[tamanho]]=$I$3,$L$3,IF(Tabla1[[#This Row],[tamanho]]=$I$4,$L$4,IF(Tabla1[[#This Row],[tamanho]]=$I$5,$L$5,IF(Tabla1[[#This Row],[tamanho]]=$I$6,$L$6,0))))*IF(C713="8_1",9,25))</f>
        <v>1.0225264483136724E-6</v>
      </c>
    </row>
    <row r="714" spans="1:6" ht="12.75" x14ac:dyDescent="0.2">
      <c r="A714" s="1">
        <v>29</v>
      </c>
      <c r="B714" s="1">
        <v>3</v>
      </c>
      <c r="C714" s="1" t="s">
        <v>7</v>
      </c>
      <c r="D714" s="1" t="s">
        <v>9</v>
      </c>
      <c r="E714" s="1">
        <v>4.2659277915954501</v>
      </c>
      <c r="F714" s="1">
        <f>Tabla1[[#This Row],[tiempo]]/(IF(Tabla1[[#This Row],[tamanho]]=$I$3,$L$3,IF(Tabla1[[#This Row],[tamanho]]=$I$4,$L$4,IF(Tabla1[[#This Row],[tamanho]]=$I$5,$L$5,IF(Tabla1[[#This Row],[tamanho]]=$I$6,$L$6,0))))*IF(C714="8_1",9,25))</f>
        <v>4.1291197320725559E-7</v>
      </c>
    </row>
    <row r="715" spans="1:6" ht="12.75" x14ac:dyDescent="0.2">
      <c r="A715" s="1">
        <v>29</v>
      </c>
      <c r="B715" s="1">
        <v>3</v>
      </c>
      <c r="C715" s="1" t="s">
        <v>8</v>
      </c>
      <c r="D715" s="1" t="s">
        <v>9</v>
      </c>
      <c r="E715" s="1">
        <v>4.3231880664825404</v>
      </c>
      <c r="F715" s="1">
        <f>Tabla1[[#This Row],[tiempo]]/(IF(Tabla1[[#This Row],[tamanho]]=$I$3,$L$3,IF(Tabla1[[#This Row],[tamanho]]=$I$4,$L$4,IF(Tabla1[[#This Row],[tamanho]]=$I$5,$L$5,IF(Tabla1[[#This Row],[tamanho]]=$I$6,$L$6,0))))*IF(C715="8_1",9,25))</f>
        <v>4.1845436732292713E-7</v>
      </c>
    </row>
    <row r="716" spans="1:6" ht="12.75" x14ac:dyDescent="0.2">
      <c r="A716" s="1">
        <v>29</v>
      </c>
      <c r="B716" s="1">
        <v>4</v>
      </c>
      <c r="C716" s="1" t="s">
        <v>5</v>
      </c>
      <c r="D716" s="1" t="s">
        <v>6</v>
      </c>
      <c r="E716" s="1">
        <v>6.8004851341247496</v>
      </c>
      <c r="F716" s="1">
        <f>Tabla1[[#This Row],[tiempo]]/(IF(Tabla1[[#This Row],[tamanho]]=$I$3,$L$3,IF(Tabla1[[#This Row],[tamanho]]=$I$4,$L$4,IF(Tabla1[[#This Row],[tamanho]]=$I$5,$L$5,IF(Tabla1[[#This Row],[tamanho]]=$I$6,$L$6,0))))*IF(C716="8_1",9,25))</f>
        <v>1.0269181551953368E-6</v>
      </c>
    </row>
    <row r="717" spans="1:6" ht="12.75" x14ac:dyDescent="0.2">
      <c r="A717" s="1">
        <v>29</v>
      </c>
      <c r="B717" s="1">
        <v>4</v>
      </c>
      <c r="C717" s="1" t="s">
        <v>7</v>
      </c>
      <c r="D717" s="1" t="s">
        <v>6</v>
      </c>
      <c r="E717" s="1">
        <v>7.5837779045104901</v>
      </c>
      <c r="F717" s="1">
        <f>Tabla1[[#This Row],[tiempo]]/(IF(Tabla1[[#This Row],[tamanho]]=$I$3,$L$3,IF(Tabla1[[#This Row],[tamanho]]=$I$4,$L$4,IF(Tabla1[[#This Row],[tamanho]]=$I$5,$L$5,IF(Tabla1[[#This Row],[tamanho]]=$I$6,$L$6,0))))*IF(C717="8_1",9,25))</f>
        <v>4.1227219266627017E-7</v>
      </c>
    </row>
    <row r="718" spans="1:6" ht="12.75" x14ac:dyDescent="0.2">
      <c r="A718" s="1">
        <v>29</v>
      </c>
      <c r="B718" s="1">
        <v>4</v>
      </c>
      <c r="C718" s="1" t="s">
        <v>8</v>
      </c>
      <c r="D718" s="1" t="s">
        <v>6</v>
      </c>
      <c r="E718" s="1">
        <v>7.6530978679656902</v>
      </c>
      <c r="F718" s="1">
        <f>Tabla1[[#This Row],[tiempo]]/(IF(Tabla1[[#This Row],[tamanho]]=$I$3,$L$3,IF(Tabla1[[#This Row],[tamanho]]=$I$4,$L$4,IF(Tabla1[[#This Row],[tamanho]]=$I$5,$L$5,IF(Tabla1[[#This Row],[tamanho]]=$I$6,$L$6,0))))*IF(C718="8_1",9,25))</f>
        <v>4.1604059064535973E-7</v>
      </c>
    </row>
    <row r="719" spans="1:6" ht="12.75" x14ac:dyDescent="0.2">
      <c r="A719" s="1">
        <v>29</v>
      </c>
      <c r="B719" s="1">
        <v>4</v>
      </c>
      <c r="C719" s="1" t="s">
        <v>5</v>
      </c>
      <c r="D719" s="1" t="s">
        <v>9</v>
      </c>
      <c r="E719" s="1">
        <v>6.8323442935943604</v>
      </c>
      <c r="F719" s="1">
        <f>Tabla1[[#This Row],[tiempo]]/(IF(Tabla1[[#This Row],[tamanho]]=$I$3,$L$3,IF(Tabla1[[#This Row],[tamanho]]=$I$4,$L$4,IF(Tabla1[[#This Row],[tamanho]]=$I$5,$L$5,IF(Tabla1[[#This Row],[tamanho]]=$I$6,$L$6,0))))*IF(C719="8_1",9,25))</f>
        <v>1.0317290986241276E-6</v>
      </c>
    </row>
    <row r="720" spans="1:6" ht="12.75" x14ac:dyDescent="0.2">
      <c r="A720" s="1">
        <v>29</v>
      </c>
      <c r="B720" s="1">
        <v>4</v>
      </c>
      <c r="C720" s="1" t="s">
        <v>7</v>
      </c>
      <c r="D720" s="1" t="s">
        <v>9</v>
      </c>
      <c r="E720" s="1">
        <v>7.71290755271911</v>
      </c>
      <c r="F720" s="1">
        <f>Tabla1[[#This Row],[tiempo]]/(IF(Tabla1[[#This Row],[tamanho]]=$I$3,$L$3,IF(Tabla1[[#This Row],[tamanho]]=$I$4,$L$4,IF(Tabla1[[#This Row],[tamanho]]=$I$5,$L$5,IF(Tabla1[[#This Row],[tamanho]]=$I$6,$L$6,0))))*IF(C720="8_1",9,25))</f>
        <v>4.1929198726937019E-7</v>
      </c>
    </row>
    <row r="721" spans="1:6" ht="12.75" x14ac:dyDescent="0.2">
      <c r="A721" s="1">
        <v>29</v>
      </c>
      <c r="B721" s="1">
        <v>4</v>
      </c>
      <c r="C721" s="1" t="s">
        <v>8</v>
      </c>
      <c r="D721" s="1" t="s">
        <v>9</v>
      </c>
      <c r="E721" s="1">
        <v>7.7245054244995099</v>
      </c>
      <c r="F721" s="1">
        <f>Tabla1[[#This Row],[tiempo]]/(IF(Tabla1[[#This Row],[tamanho]]=$I$3,$L$3,IF(Tabla1[[#This Row],[tamanho]]=$I$4,$L$4,IF(Tabla1[[#This Row],[tamanho]]=$I$5,$L$5,IF(Tabla1[[#This Row],[tamanho]]=$I$6,$L$6,0))))*IF(C721="8_1",9,25))</f>
        <v>4.1992247514617417E-7</v>
      </c>
    </row>
    <row r="722" spans="1:6" ht="12.75" x14ac:dyDescent="0.2">
      <c r="A722" s="1">
        <v>30</v>
      </c>
      <c r="B722" s="1">
        <v>1</v>
      </c>
      <c r="C722" s="1" t="s">
        <v>5</v>
      </c>
      <c r="D722" s="1" t="s">
        <v>6</v>
      </c>
      <c r="E722" s="1">
        <v>0.40131425857543901</v>
      </c>
      <c r="F722" s="1">
        <f>Tabla1[[#This Row],[tiempo]]/(IF(Tabla1[[#This Row],[tamanho]]=$I$3,$L$3,IF(Tabla1[[#This Row],[tamanho]]=$I$4,$L$4,IF(Tabla1[[#This Row],[tamanho]]=$I$5,$L$5,IF(Tabla1[[#This Row],[tamanho]]=$I$6,$L$6,0))))*IF(C722="8_1",9,25))</f>
        <v>1.6538879557527086E-6</v>
      </c>
    </row>
    <row r="723" spans="1:6" ht="12.75" x14ac:dyDescent="0.2">
      <c r="A723" s="1">
        <v>30</v>
      </c>
      <c r="B723" s="1">
        <v>1</v>
      </c>
      <c r="C723" s="1" t="s">
        <v>7</v>
      </c>
      <c r="D723" s="1" t="s">
        <v>6</v>
      </c>
      <c r="E723" s="1">
        <v>0.45259189605712802</v>
      </c>
      <c r="F723" s="1">
        <f>Tabla1[[#This Row],[tiempo]]/(IF(Tabla1[[#This Row],[tamanho]]=$I$3,$L$3,IF(Tabla1[[#This Row],[tamanho]]=$I$4,$L$4,IF(Tabla1[[#This Row],[tamanho]]=$I$5,$L$5,IF(Tabla1[[#This Row],[tamanho]]=$I$6,$L$6,0))))*IF(C723="8_1",9,25))</f>
        <v>6.7147642306609999E-7</v>
      </c>
    </row>
    <row r="724" spans="1:6" ht="12.75" x14ac:dyDescent="0.2">
      <c r="A724" s="1">
        <v>30</v>
      </c>
      <c r="B724" s="1">
        <v>1</v>
      </c>
      <c r="C724" s="1" t="s">
        <v>8</v>
      </c>
      <c r="D724" s="1" t="s">
        <v>6</v>
      </c>
      <c r="E724" s="1">
        <v>0.455387592315673</v>
      </c>
      <c r="F724" s="1">
        <f>Tabla1[[#This Row],[tiempo]]/(IF(Tabla1[[#This Row],[tamanho]]=$I$3,$L$3,IF(Tabla1[[#This Row],[tamanho]]=$I$4,$L$4,IF(Tabla1[[#This Row],[tamanho]]=$I$5,$L$5,IF(Tabla1[[#This Row],[tamanho]]=$I$6,$L$6,0))))*IF(C724="8_1",9,25))</f>
        <v>6.7562418651485183E-7</v>
      </c>
    </row>
    <row r="725" spans="1:6" ht="12.75" x14ac:dyDescent="0.2">
      <c r="A725" s="1">
        <v>30</v>
      </c>
      <c r="B725" s="1">
        <v>1</v>
      </c>
      <c r="C725" s="1" t="s">
        <v>5</v>
      </c>
      <c r="D725" s="1" t="s">
        <v>9</v>
      </c>
      <c r="E725" s="1">
        <v>0.40492224693298301</v>
      </c>
      <c r="F725" s="1">
        <f>Tabla1[[#This Row],[tiempo]]/(IF(Tabla1[[#This Row],[tamanho]]=$I$3,$L$3,IF(Tabla1[[#This Row],[tamanho]]=$I$4,$L$4,IF(Tabla1[[#This Row],[tamanho]]=$I$5,$L$5,IF(Tabla1[[#This Row],[tamanho]]=$I$6,$L$6,0))))*IF(C725="8_1",9,25))</f>
        <v>1.66875712215168E-6</v>
      </c>
    </row>
    <row r="726" spans="1:6" ht="12.75" x14ac:dyDescent="0.2">
      <c r="A726" s="1">
        <v>30</v>
      </c>
      <c r="B726" s="1">
        <v>1</v>
      </c>
      <c r="C726" s="1" t="s">
        <v>7</v>
      </c>
      <c r="D726" s="1" t="s">
        <v>9</v>
      </c>
      <c r="E726" s="1">
        <v>0.45661544799804599</v>
      </c>
      <c r="F726" s="1">
        <f>Tabla1[[#This Row],[tiempo]]/(IF(Tabla1[[#This Row],[tamanho]]=$I$3,$L$3,IF(Tabla1[[#This Row],[tamanho]]=$I$4,$L$4,IF(Tabla1[[#This Row],[tamanho]]=$I$5,$L$5,IF(Tabla1[[#This Row],[tamanho]]=$I$6,$L$6,0))))*IF(C726="8_1",9,25))</f>
        <v>6.7744586328110376E-7</v>
      </c>
    </row>
    <row r="727" spans="1:6" ht="12.75" x14ac:dyDescent="0.2">
      <c r="A727" s="1">
        <v>30</v>
      </c>
      <c r="B727" s="1">
        <v>1</v>
      </c>
      <c r="C727" s="1" t="s">
        <v>8</v>
      </c>
      <c r="D727" s="1" t="s">
        <v>9</v>
      </c>
      <c r="E727" s="1">
        <v>0.45796227455139099</v>
      </c>
      <c r="F727" s="1">
        <f>Tabla1[[#This Row],[tiempo]]/(IF(Tabla1[[#This Row],[tamanho]]=$I$3,$L$3,IF(Tabla1[[#This Row],[tamanho]]=$I$4,$L$4,IF(Tabla1[[#This Row],[tamanho]]=$I$5,$L$5,IF(Tabla1[[#This Row],[tamanho]]=$I$6,$L$6,0))))*IF(C727="8_1",9,25))</f>
        <v>6.7944404814567857E-7</v>
      </c>
    </row>
    <row r="728" spans="1:6" ht="12.75" x14ac:dyDescent="0.2">
      <c r="A728" s="1">
        <v>30</v>
      </c>
      <c r="B728" s="1">
        <v>2</v>
      </c>
      <c r="C728" s="1" t="s">
        <v>5</v>
      </c>
      <c r="D728" s="1" t="s">
        <v>6</v>
      </c>
      <c r="E728" s="1">
        <v>1.6988549232482899</v>
      </c>
      <c r="F728" s="1">
        <f>Tabla1[[#This Row],[tiempo]]/(IF(Tabla1[[#This Row],[tamanho]]=$I$3,$L$3,IF(Tabla1[[#This Row],[tamanho]]=$I$4,$L$4,IF(Tabla1[[#This Row],[tamanho]]=$I$5,$L$5,IF(Tabla1[[#This Row],[tamanho]]=$I$6,$L$6,0))))*IF(C728="8_1",9,25))</f>
        <v>1.0285505723493579E-6</v>
      </c>
    </row>
    <row r="729" spans="1:6" ht="12.75" x14ac:dyDescent="0.2">
      <c r="A729" s="1">
        <v>30</v>
      </c>
      <c r="B729" s="1">
        <v>2</v>
      </c>
      <c r="C729" s="1" t="s">
        <v>7</v>
      </c>
      <c r="D729" s="1" t="s">
        <v>6</v>
      </c>
      <c r="E729" s="1">
        <v>1.91495132446289</v>
      </c>
      <c r="F729" s="1">
        <f>Tabla1[[#This Row],[tiempo]]/(IF(Tabla1[[#This Row],[tamanho]]=$I$3,$L$3,IF(Tabla1[[#This Row],[tamanho]]=$I$4,$L$4,IF(Tabla1[[#This Row],[tamanho]]=$I$5,$L$5,IF(Tabla1[[#This Row],[tamanho]]=$I$6,$L$6,0))))*IF(C729="8_1",9,25))</f>
        <v>4.1737804175257245E-7</v>
      </c>
    </row>
    <row r="730" spans="1:6" ht="12.75" x14ac:dyDescent="0.2">
      <c r="A730" s="1">
        <v>30</v>
      </c>
      <c r="B730" s="1">
        <v>2</v>
      </c>
      <c r="C730" s="1" t="s">
        <v>8</v>
      </c>
      <c r="D730" s="1" t="s">
        <v>6</v>
      </c>
      <c r="E730" s="1">
        <v>1.92838811874389</v>
      </c>
      <c r="F730" s="1">
        <f>Tabla1[[#This Row],[tiempo]]/(IF(Tabla1[[#This Row],[tamanho]]=$I$3,$L$3,IF(Tabla1[[#This Row],[tamanho]]=$I$4,$L$4,IF(Tabla1[[#This Row],[tamanho]]=$I$5,$L$5,IF(Tabla1[[#This Row],[tamanho]]=$I$6,$L$6,0))))*IF(C730="8_1",9,25))</f>
        <v>4.2030669211187542E-7</v>
      </c>
    </row>
    <row r="731" spans="1:6" ht="12.75" x14ac:dyDescent="0.2">
      <c r="A731" s="1">
        <v>30</v>
      </c>
      <c r="B731" s="1">
        <v>2</v>
      </c>
      <c r="C731" s="1" t="s">
        <v>5</v>
      </c>
      <c r="D731" s="1" t="s">
        <v>9</v>
      </c>
      <c r="E731" s="1">
        <v>1.7305312156677199</v>
      </c>
      <c r="F731" s="1">
        <f>Tabla1[[#This Row],[tiempo]]/(IF(Tabla1[[#This Row],[tamanho]]=$I$3,$L$3,IF(Tabla1[[#This Row],[tamanho]]=$I$4,$L$4,IF(Tabla1[[#This Row],[tamanho]]=$I$5,$L$5,IF(Tabla1[[#This Row],[tamanho]]=$I$6,$L$6,0))))*IF(C731="8_1",9,25))</f>
        <v>1.0477285894078216E-6</v>
      </c>
    </row>
    <row r="732" spans="1:6" ht="12.75" x14ac:dyDescent="0.2">
      <c r="A732" s="1">
        <v>30</v>
      </c>
      <c r="B732" s="1">
        <v>2</v>
      </c>
      <c r="C732" s="1" t="s">
        <v>7</v>
      </c>
      <c r="D732" s="1" t="s">
        <v>9</v>
      </c>
      <c r="E732" s="1">
        <v>1.8837242126464799</v>
      </c>
      <c r="F732" s="1">
        <f>Tabla1[[#This Row],[tiempo]]/(IF(Tabla1[[#This Row],[tamanho]]=$I$3,$L$3,IF(Tabla1[[#This Row],[tamanho]]=$I$4,$L$4,IF(Tabla1[[#This Row],[tamanho]]=$I$5,$L$5,IF(Tabla1[[#This Row],[tamanho]]=$I$6,$L$6,0))))*IF(C732="8_1",9,25))</f>
        <v>4.1057185790182758E-7</v>
      </c>
    </row>
    <row r="733" spans="1:6" ht="12.75" x14ac:dyDescent="0.2">
      <c r="A733" s="1">
        <v>30</v>
      </c>
      <c r="B733" s="1">
        <v>2</v>
      </c>
      <c r="C733" s="1" t="s">
        <v>8</v>
      </c>
      <c r="D733" s="1" t="s">
        <v>9</v>
      </c>
      <c r="E733" s="1">
        <v>1.87835669517517</v>
      </c>
      <c r="F733" s="1">
        <f>Tabla1[[#This Row],[tiempo]]/(IF(Tabla1[[#This Row],[tamanho]]=$I$3,$L$3,IF(Tabla1[[#This Row],[tamanho]]=$I$4,$L$4,IF(Tabla1[[#This Row],[tamanho]]=$I$5,$L$5,IF(Tabla1[[#This Row],[tamanho]]=$I$6,$L$6,0))))*IF(C733="8_1",9,25))</f>
        <v>4.0940196710479835E-7</v>
      </c>
    </row>
    <row r="734" spans="1:6" ht="12.75" x14ac:dyDescent="0.2">
      <c r="A734" s="1">
        <v>30</v>
      </c>
      <c r="B734" s="1">
        <v>3</v>
      </c>
      <c r="C734" s="1" t="s">
        <v>5</v>
      </c>
      <c r="D734" s="1" t="s">
        <v>6</v>
      </c>
      <c r="E734" s="1">
        <v>3.7994167804718</v>
      </c>
      <c r="F734" s="1">
        <f>Tabla1[[#This Row],[tiempo]]/(IF(Tabla1[[#This Row],[tamanho]]=$I$3,$L$3,IF(Tabla1[[#This Row],[tamanho]]=$I$4,$L$4,IF(Tabla1[[#This Row],[tamanho]]=$I$5,$L$5,IF(Tabla1[[#This Row],[tamanho]]=$I$6,$L$6,0))))*IF(C734="8_1",9,25))</f>
        <v>1.0215471395305593E-6</v>
      </c>
    </row>
    <row r="735" spans="1:6" ht="12.75" x14ac:dyDescent="0.2">
      <c r="A735" s="1">
        <v>30</v>
      </c>
      <c r="B735" s="1">
        <v>3</v>
      </c>
      <c r="C735" s="1" t="s">
        <v>7</v>
      </c>
      <c r="D735" s="1" t="s">
        <v>6</v>
      </c>
      <c r="E735" s="1">
        <v>4.2571558952331499</v>
      </c>
      <c r="F735" s="1">
        <f>Tabla1[[#This Row],[tiempo]]/(IF(Tabla1[[#This Row],[tamanho]]=$I$3,$L$3,IF(Tabla1[[#This Row],[tamanho]]=$I$4,$L$4,IF(Tabla1[[#This Row],[tamanho]]=$I$5,$L$5,IF(Tabla1[[#This Row],[tamanho]]=$I$6,$L$6,0))))*IF(C735="8_1",9,25))</f>
        <v>4.1206291499233158E-7</v>
      </c>
    </row>
    <row r="736" spans="1:6" ht="12.75" x14ac:dyDescent="0.2">
      <c r="A736" s="1">
        <v>30</v>
      </c>
      <c r="B736" s="1">
        <v>3</v>
      </c>
      <c r="C736" s="1" t="s">
        <v>8</v>
      </c>
      <c r="D736" s="1" t="s">
        <v>6</v>
      </c>
      <c r="E736" s="1">
        <v>4.26505255699157</v>
      </c>
      <c r="F736" s="1">
        <f>Tabla1[[#This Row],[tiempo]]/(IF(Tabla1[[#This Row],[tamanho]]=$I$3,$L$3,IF(Tabla1[[#This Row],[tamanho]]=$I$4,$L$4,IF(Tabla1[[#This Row],[tamanho]]=$I$5,$L$5,IF(Tabla1[[#This Row],[tamanho]]=$I$6,$L$6,0))))*IF(C736="8_1",9,25))</f>
        <v>4.1282725661922065E-7</v>
      </c>
    </row>
    <row r="737" spans="1:6" ht="12.75" x14ac:dyDescent="0.2">
      <c r="A737" s="1">
        <v>30</v>
      </c>
      <c r="B737" s="1">
        <v>3</v>
      </c>
      <c r="C737" s="1" t="s">
        <v>5</v>
      </c>
      <c r="D737" s="1" t="s">
        <v>9</v>
      </c>
      <c r="E737" s="1">
        <v>3.84548020362854</v>
      </c>
      <c r="F737" s="1">
        <f>Tabla1[[#This Row],[tiempo]]/(IF(Tabla1[[#This Row],[tamanho]]=$I$3,$L$3,IF(Tabla1[[#This Row],[tamanho]]=$I$4,$L$4,IF(Tabla1[[#This Row],[tamanho]]=$I$5,$L$5,IF(Tabla1[[#This Row],[tamanho]]=$I$6,$L$6,0))))*IF(C737="8_1",9,25))</f>
        <v>1.0339321872580451E-6</v>
      </c>
    </row>
    <row r="738" spans="1:6" ht="12.75" x14ac:dyDescent="0.2">
      <c r="A738" s="1">
        <v>30</v>
      </c>
      <c r="B738" s="1">
        <v>3</v>
      </c>
      <c r="C738" s="1" t="s">
        <v>7</v>
      </c>
      <c r="D738" s="1" t="s">
        <v>9</v>
      </c>
      <c r="E738" s="1">
        <v>4.2827169895172101</v>
      </c>
      <c r="F738" s="1">
        <f>Tabla1[[#This Row],[tiempo]]/(IF(Tabla1[[#This Row],[tamanho]]=$I$3,$L$3,IF(Tabla1[[#This Row],[tamanho]]=$I$4,$L$4,IF(Tabla1[[#This Row],[tamanho]]=$I$5,$L$5,IF(Tabla1[[#This Row],[tamanho]]=$I$6,$L$6,0))))*IF(C738="8_1",9,25))</f>
        <v>4.1453705013802296E-7</v>
      </c>
    </row>
    <row r="739" spans="1:6" ht="12.75" x14ac:dyDescent="0.2">
      <c r="A739" s="1">
        <v>30</v>
      </c>
      <c r="B739" s="1">
        <v>3</v>
      </c>
      <c r="C739" s="1" t="s">
        <v>8</v>
      </c>
      <c r="D739" s="1" t="s">
        <v>9</v>
      </c>
      <c r="E739" s="1">
        <v>4.3421258926391602</v>
      </c>
      <c r="F739" s="1">
        <f>Tabla1[[#This Row],[tiempo]]/(IF(Tabla1[[#This Row],[tamanho]]=$I$3,$L$3,IF(Tabla1[[#This Row],[tamanho]]=$I$4,$L$4,IF(Tabla1[[#This Row],[tamanho]]=$I$5,$L$5,IF(Tabla1[[#This Row],[tamanho]]=$I$6,$L$6,0))))*IF(C739="8_1",9,25))</f>
        <v>4.2028741643875884E-7</v>
      </c>
    </row>
    <row r="740" spans="1:6" ht="12.75" x14ac:dyDescent="0.2">
      <c r="A740" s="1">
        <v>30</v>
      </c>
      <c r="B740" s="1">
        <v>4</v>
      </c>
      <c r="C740" s="1" t="s">
        <v>5</v>
      </c>
      <c r="D740" s="1" t="s">
        <v>6</v>
      </c>
      <c r="E740" s="1">
        <v>6.8848974704742396</v>
      </c>
      <c r="F740" s="1">
        <f>Tabla1[[#This Row],[tiempo]]/(IF(Tabla1[[#This Row],[tamanho]]=$I$3,$L$3,IF(Tabla1[[#This Row],[tamanho]]=$I$4,$L$4,IF(Tabla1[[#This Row],[tamanho]]=$I$5,$L$5,IF(Tabla1[[#This Row],[tamanho]]=$I$6,$L$6,0))))*IF(C740="8_1",9,25))</f>
        <v>1.0396649753133258E-6</v>
      </c>
    </row>
    <row r="741" spans="1:6" ht="12.75" x14ac:dyDescent="0.2">
      <c r="A741" s="1">
        <v>30</v>
      </c>
      <c r="B741" s="1">
        <v>4</v>
      </c>
      <c r="C741" s="1" t="s">
        <v>7</v>
      </c>
      <c r="D741" s="1" t="s">
        <v>6</v>
      </c>
      <c r="E741" s="1">
        <v>7.6212594509124703</v>
      </c>
      <c r="F741" s="1">
        <f>Tabla1[[#This Row],[tiempo]]/(IF(Tabla1[[#This Row],[tamanho]]=$I$3,$L$3,IF(Tabla1[[#This Row],[tamanho]]=$I$4,$L$4,IF(Tabla1[[#This Row],[tamanho]]=$I$5,$L$5,IF(Tabla1[[#This Row],[tamanho]]=$I$6,$L$6,0))))*IF(C741="8_1",9,25))</f>
        <v>4.1430977861805241E-7</v>
      </c>
    </row>
    <row r="742" spans="1:6" ht="12.75" x14ac:dyDescent="0.2">
      <c r="A742" s="1">
        <v>30</v>
      </c>
      <c r="B742" s="1">
        <v>4</v>
      </c>
      <c r="C742" s="1" t="s">
        <v>8</v>
      </c>
      <c r="D742" s="1" t="s">
        <v>6</v>
      </c>
      <c r="E742" s="1">
        <v>7.6393020153045601</v>
      </c>
      <c r="F742" s="1">
        <f>Tabla1[[#This Row],[tiempo]]/(IF(Tabla1[[#This Row],[tamanho]]=$I$3,$L$3,IF(Tabla1[[#This Row],[tamanho]]=$I$4,$L$4,IF(Tabla1[[#This Row],[tamanho]]=$I$5,$L$5,IF(Tabla1[[#This Row],[tamanho]]=$I$6,$L$6,0))))*IF(C742="8_1",9,25))</f>
        <v>4.1529061530352882E-7</v>
      </c>
    </row>
    <row r="743" spans="1:6" ht="12.75" x14ac:dyDescent="0.2">
      <c r="A743" s="1">
        <v>30</v>
      </c>
      <c r="B743" s="1">
        <v>4</v>
      </c>
      <c r="C743" s="1" t="s">
        <v>5</v>
      </c>
      <c r="D743" s="1" t="s">
        <v>9</v>
      </c>
      <c r="E743" s="1">
        <v>6.8434798717498699</v>
      </c>
      <c r="F743" s="1">
        <f>Tabla1[[#This Row],[tiempo]]/(IF(Tabla1[[#This Row],[tamanho]]=$I$3,$L$3,IF(Tabla1[[#This Row],[tamanho]]=$I$4,$L$4,IF(Tabla1[[#This Row],[tamanho]]=$I$5,$L$5,IF(Tabla1[[#This Row],[tamanho]]=$I$6,$L$6,0))))*IF(C743="8_1",9,25))</f>
        <v>1.0334106444478375E-6</v>
      </c>
    </row>
    <row r="744" spans="1:6" ht="12.75" x14ac:dyDescent="0.2">
      <c r="A744" s="1">
        <v>30</v>
      </c>
      <c r="B744" s="1">
        <v>4</v>
      </c>
      <c r="C744" s="1" t="s">
        <v>7</v>
      </c>
      <c r="D744" s="1" t="s">
        <v>9</v>
      </c>
      <c r="E744" s="1">
        <v>7.6016976833343497</v>
      </c>
      <c r="F744" s="1">
        <f>Tabla1[[#This Row],[tiempo]]/(IF(Tabla1[[#This Row],[tamanho]]=$I$3,$L$3,IF(Tabla1[[#This Row],[tamanho]]=$I$4,$L$4,IF(Tabla1[[#This Row],[tamanho]]=$I$5,$L$5,IF(Tabla1[[#This Row],[tamanho]]=$I$6,$L$6,0))))*IF(C744="8_1",9,25))</f>
        <v>4.1324635443641025E-7</v>
      </c>
    </row>
    <row r="745" spans="1:6" ht="12.75" x14ac:dyDescent="0.2">
      <c r="A745" s="1">
        <v>30</v>
      </c>
      <c r="B745" s="1">
        <v>4</v>
      </c>
      <c r="C745" s="1" t="s">
        <v>8</v>
      </c>
      <c r="D745" s="1" t="s">
        <v>9</v>
      </c>
      <c r="E745" s="1">
        <v>7.6599142551422101</v>
      </c>
      <c r="F745" s="1">
        <f>Tabla1[[#This Row],[tiempo]]/(IF(Tabla1[[#This Row],[tamanho]]=$I$3,$L$3,IF(Tabla1[[#This Row],[tamanho]]=$I$4,$L$4,IF(Tabla1[[#This Row],[tamanho]]=$I$5,$L$5,IF(Tabla1[[#This Row],[tamanho]]=$I$6,$L$6,0))))*IF(C745="8_1",9,25))</f>
        <v>4.1641114565405198E-7</v>
      </c>
    </row>
    <row r="746" spans="1:6" ht="12.75" x14ac:dyDescent="0.2">
      <c r="A746" s="1">
        <v>31</v>
      </c>
      <c r="B746" s="1">
        <v>1</v>
      </c>
      <c r="C746" s="1" t="s">
        <v>5</v>
      </c>
      <c r="D746" s="1" t="s">
        <v>6</v>
      </c>
      <c r="E746" s="1">
        <v>0.40308690071105902</v>
      </c>
      <c r="F746" s="1">
        <f>Tabla1[[#This Row],[tiempo]]/(IF(Tabla1[[#This Row],[tamanho]]=$I$3,$L$3,IF(Tabla1[[#This Row],[tamanho]]=$I$4,$L$4,IF(Tabla1[[#This Row],[tamanho]]=$I$5,$L$5,IF(Tabla1[[#This Row],[tamanho]]=$I$6,$L$6,0))))*IF(C746="8_1",9,25))</f>
        <v>1.6611933315655907E-6</v>
      </c>
    </row>
    <row r="747" spans="1:6" ht="12.75" x14ac:dyDescent="0.2">
      <c r="A747" s="1">
        <v>31</v>
      </c>
      <c r="B747" s="1">
        <v>1</v>
      </c>
      <c r="C747" s="1" t="s">
        <v>7</v>
      </c>
      <c r="D747" s="1" t="s">
        <v>6</v>
      </c>
      <c r="E747" s="1">
        <v>0.45389175415039001</v>
      </c>
      <c r="F747" s="1">
        <f>Tabla1[[#This Row],[tiempo]]/(IF(Tabla1[[#This Row],[tamanho]]=$I$3,$L$3,IF(Tabla1[[#This Row],[tamanho]]=$I$4,$L$4,IF(Tabla1[[#This Row],[tamanho]]=$I$5,$L$5,IF(Tabla1[[#This Row],[tamanho]]=$I$6,$L$6,0))))*IF(C747="8_1",9,25))</f>
        <v>6.7340492437282002E-7</v>
      </c>
    </row>
    <row r="748" spans="1:6" ht="12.75" x14ac:dyDescent="0.2">
      <c r="A748" s="1">
        <v>31</v>
      </c>
      <c r="B748" s="1">
        <v>1</v>
      </c>
      <c r="C748" s="1" t="s">
        <v>8</v>
      </c>
      <c r="D748" s="1" t="s">
        <v>6</v>
      </c>
      <c r="E748" s="1">
        <v>0.45720863342285101</v>
      </c>
      <c r="F748" s="1">
        <f>Tabla1[[#This Row],[tiempo]]/(IF(Tabla1[[#This Row],[tamanho]]=$I$3,$L$3,IF(Tabla1[[#This Row],[tamanho]]=$I$4,$L$4,IF(Tabla1[[#This Row],[tamanho]]=$I$5,$L$5,IF(Tabla1[[#This Row],[tamanho]]=$I$6,$L$6,0))))*IF(C748="8_1",9,25))</f>
        <v>6.783259277072082E-7</v>
      </c>
    </row>
    <row r="749" spans="1:6" ht="12.75" x14ac:dyDescent="0.2">
      <c r="A749" s="1">
        <v>31</v>
      </c>
      <c r="B749" s="1">
        <v>1</v>
      </c>
      <c r="C749" s="1" t="s">
        <v>5</v>
      </c>
      <c r="D749" s="1" t="s">
        <v>9</v>
      </c>
      <c r="E749" s="1">
        <v>0.403913974761962</v>
      </c>
      <c r="F749" s="1">
        <f>Tabla1[[#This Row],[tiempo]]/(IF(Tabla1[[#This Row],[tamanho]]=$I$3,$L$3,IF(Tabla1[[#This Row],[tamanho]]=$I$4,$L$4,IF(Tabla1[[#This Row],[tamanho]]=$I$5,$L$5,IF(Tabla1[[#This Row],[tamanho]]=$I$6,$L$6,0))))*IF(C749="8_1",9,25))</f>
        <v>1.6646018519011494E-6</v>
      </c>
    </row>
    <row r="750" spans="1:6" ht="12.75" x14ac:dyDescent="0.2">
      <c r="A750" s="1">
        <v>31</v>
      </c>
      <c r="B750" s="1">
        <v>1</v>
      </c>
      <c r="C750" s="1" t="s">
        <v>7</v>
      </c>
      <c r="D750" s="1" t="s">
        <v>9</v>
      </c>
      <c r="E750" s="1">
        <v>0.45406389236450101</v>
      </c>
      <c r="F750" s="1">
        <f>Tabla1[[#This Row],[tiempo]]/(IF(Tabla1[[#This Row],[tamanho]]=$I$3,$L$3,IF(Tabla1[[#This Row],[tamanho]]=$I$4,$L$4,IF(Tabla1[[#This Row],[tamanho]]=$I$5,$L$5,IF(Tabla1[[#This Row],[tamanho]]=$I$6,$L$6,0))))*IF(C750="8_1",9,25))</f>
        <v>6.7366031284373876E-7</v>
      </c>
    </row>
    <row r="751" spans="1:6" ht="12.75" x14ac:dyDescent="0.2">
      <c r="A751" s="1">
        <v>31</v>
      </c>
      <c r="B751" s="1">
        <v>1</v>
      </c>
      <c r="C751" s="1" t="s">
        <v>8</v>
      </c>
      <c r="D751" s="1" t="s">
        <v>9</v>
      </c>
      <c r="E751" s="1">
        <v>0.46155595779418901</v>
      </c>
      <c r="F751" s="1">
        <f>Tabla1[[#This Row],[tiempo]]/(IF(Tabla1[[#This Row],[tamanho]]=$I$3,$L$3,IF(Tabla1[[#This Row],[tamanho]]=$I$4,$L$4,IF(Tabla1[[#This Row],[tamanho]]=$I$5,$L$5,IF(Tabla1[[#This Row],[tamanho]]=$I$6,$L$6,0))))*IF(C751="8_1",9,25))</f>
        <v>6.8477572463067248E-7</v>
      </c>
    </row>
    <row r="752" spans="1:6" ht="12.75" x14ac:dyDescent="0.2">
      <c r="A752" s="1">
        <v>31</v>
      </c>
      <c r="B752" s="1">
        <v>2</v>
      </c>
      <c r="C752" s="1" t="s">
        <v>5</v>
      </c>
      <c r="D752" s="1" t="s">
        <v>6</v>
      </c>
      <c r="E752" s="1">
        <v>1.6637780666351301</v>
      </c>
      <c r="F752" s="1">
        <f>Tabla1[[#This Row],[tiempo]]/(IF(Tabla1[[#This Row],[tamanho]]=$I$3,$L$3,IF(Tabla1[[#This Row],[tamanho]]=$I$4,$L$4,IF(Tabla1[[#This Row],[tamanho]]=$I$5,$L$5,IF(Tabla1[[#This Row],[tamanho]]=$I$6,$L$6,0))))*IF(C752="8_1",9,25))</f>
        <v>1.0073137260171837E-6</v>
      </c>
    </row>
    <row r="753" spans="1:6" ht="12.75" x14ac:dyDescent="0.2">
      <c r="A753" s="1">
        <v>31</v>
      </c>
      <c r="B753" s="1">
        <v>2</v>
      </c>
      <c r="C753" s="1" t="s">
        <v>7</v>
      </c>
      <c r="D753" s="1" t="s">
        <v>6</v>
      </c>
      <c r="E753" s="1">
        <v>1.8555097579955999</v>
      </c>
      <c r="F753" s="1">
        <f>Tabla1[[#This Row],[tiempo]]/(IF(Tabla1[[#This Row],[tamanho]]=$I$3,$L$3,IF(Tabla1[[#This Row],[tamanho]]=$I$4,$L$4,IF(Tabla1[[#This Row],[tamanho]]=$I$5,$L$5,IF(Tabla1[[#This Row],[tamanho]]=$I$6,$L$6,0))))*IF(C753="8_1",9,25))</f>
        <v>4.0442230533573084E-7</v>
      </c>
    </row>
    <row r="754" spans="1:6" ht="12.75" x14ac:dyDescent="0.2">
      <c r="A754" s="1">
        <v>31</v>
      </c>
      <c r="B754" s="1">
        <v>2</v>
      </c>
      <c r="C754" s="1" t="s">
        <v>8</v>
      </c>
      <c r="D754" s="1" t="s">
        <v>6</v>
      </c>
      <c r="E754" s="1">
        <v>1.86775279045104</v>
      </c>
      <c r="F754" s="1">
        <f>Tabla1[[#This Row],[tiempo]]/(IF(Tabla1[[#This Row],[tamanho]]=$I$3,$L$3,IF(Tabla1[[#This Row],[tamanho]]=$I$4,$L$4,IF(Tabla1[[#This Row],[tamanho]]=$I$5,$L$5,IF(Tabla1[[#This Row],[tamanho]]=$I$6,$L$6,0))))*IF(C754="8_1",9,25))</f>
        <v>4.0709076632796941E-7</v>
      </c>
    </row>
    <row r="755" spans="1:6" ht="12.75" x14ac:dyDescent="0.2">
      <c r="A755" s="1">
        <v>31</v>
      </c>
      <c r="B755" s="1">
        <v>2</v>
      </c>
      <c r="C755" s="1" t="s">
        <v>5</v>
      </c>
      <c r="D755" s="1" t="s">
        <v>9</v>
      </c>
      <c r="E755" s="1">
        <v>1.6679508686065601</v>
      </c>
      <c r="F755" s="1">
        <f>Tabla1[[#This Row],[tiempo]]/(IF(Tabla1[[#This Row],[tamanho]]=$I$3,$L$3,IF(Tabla1[[#This Row],[tamanho]]=$I$4,$L$4,IF(Tabla1[[#This Row],[tamanho]]=$I$5,$L$5,IF(Tabla1[[#This Row],[tamanho]]=$I$6,$L$6,0))))*IF(C755="8_1",9,25))</f>
        <v>1.0098400970435031E-6</v>
      </c>
    </row>
    <row r="756" spans="1:6" ht="12.75" x14ac:dyDescent="0.2">
      <c r="A756" s="1">
        <v>31</v>
      </c>
      <c r="B756" s="1">
        <v>2</v>
      </c>
      <c r="C756" s="1" t="s">
        <v>7</v>
      </c>
      <c r="D756" s="1" t="s">
        <v>9</v>
      </c>
      <c r="E756" s="1">
        <v>1.85188460350036</v>
      </c>
      <c r="F756" s="1">
        <f>Tabla1[[#This Row],[tiempo]]/(IF(Tabla1[[#This Row],[tamanho]]=$I$3,$L$3,IF(Tabla1[[#This Row],[tamanho]]=$I$4,$L$4,IF(Tabla1[[#This Row],[tamanho]]=$I$5,$L$5,IF(Tabla1[[#This Row],[tamanho]]=$I$6,$L$6,0))))*IF(C756="8_1",9,25))</f>
        <v>4.0363217565204392E-7</v>
      </c>
    </row>
    <row r="757" spans="1:6" ht="12.75" x14ac:dyDescent="0.2">
      <c r="A757" s="1">
        <v>31</v>
      </c>
      <c r="B757" s="1">
        <v>2</v>
      </c>
      <c r="C757" s="1" t="s">
        <v>8</v>
      </c>
      <c r="D757" s="1" t="s">
        <v>9</v>
      </c>
      <c r="E757" s="1">
        <v>1.8971352577209399</v>
      </c>
      <c r="F757" s="1">
        <f>Tabla1[[#This Row],[tiempo]]/(IF(Tabla1[[#This Row],[tamanho]]=$I$3,$L$3,IF(Tabla1[[#This Row],[tamanho]]=$I$4,$L$4,IF(Tabla1[[#This Row],[tamanho]]=$I$5,$L$5,IF(Tabla1[[#This Row],[tamanho]]=$I$6,$L$6,0))))*IF(C757="8_1",9,25))</f>
        <v>4.1349489602792906E-7</v>
      </c>
    </row>
    <row r="758" spans="1:6" ht="12.75" x14ac:dyDescent="0.2">
      <c r="A758" s="1">
        <v>31</v>
      </c>
      <c r="B758" s="1">
        <v>3</v>
      </c>
      <c r="C758" s="1" t="s">
        <v>5</v>
      </c>
      <c r="D758" s="1" t="s">
        <v>6</v>
      </c>
      <c r="E758" s="1">
        <v>3.8444457054138099</v>
      </c>
      <c r="F758" s="1">
        <f>Tabla1[[#This Row],[tiempo]]/(IF(Tabla1[[#This Row],[tamanho]]=$I$3,$L$3,IF(Tabla1[[#This Row],[tamanho]]=$I$4,$L$4,IF(Tabla1[[#This Row],[tamanho]]=$I$5,$L$5,IF(Tabla1[[#This Row],[tamanho]]=$I$6,$L$6,0))))*IF(C758="8_1",9,25))</f>
        <v>1.0336540422812847E-6</v>
      </c>
    </row>
    <row r="759" spans="1:6" ht="12.75" x14ac:dyDescent="0.2">
      <c r="A759" s="1">
        <v>31</v>
      </c>
      <c r="B759" s="1">
        <v>3</v>
      </c>
      <c r="C759" s="1" t="s">
        <v>7</v>
      </c>
      <c r="D759" s="1" t="s">
        <v>6</v>
      </c>
      <c r="E759" s="1">
        <v>4.2745680809020996</v>
      </c>
      <c r="F759" s="1">
        <f>Tabla1[[#This Row],[tiempo]]/(IF(Tabla1[[#This Row],[tamanho]]=$I$3,$L$3,IF(Tabla1[[#This Row],[tamanho]]=$I$4,$L$4,IF(Tabla1[[#This Row],[tamanho]]=$I$5,$L$5,IF(Tabla1[[#This Row],[tamanho]]=$I$6,$L$6,0))))*IF(C759="8_1",9,25))</f>
        <v>4.1374829277968701E-7</v>
      </c>
    </row>
    <row r="760" spans="1:6" ht="12.75" x14ac:dyDescent="0.2">
      <c r="A760" s="1">
        <v>31</v>
      </c>
      <c r="B760" s="1">
        <v>3</v>
      </c>
      <c r="C760" s="1" t="s">
        <v>8</v>
      </c>
      <c r="D760" s="1" t="s">
        <v>6</v>
      </c>
      <c r="E760" s="1">
        <v>4.2836139202117902</v>
      </c>
      <c r="F760" s="1">
        <f>Tabla1[[#This Row],[tiempo]]/(IF(Tabla1[[#This Row],[tamanho]]=$I$3,$L$3,IF(Tabla1[[#This Row],[tamanho]]=$I$4,$L$4,IF(Tabla1[[#This Row],[tamanho]]=$I$5,$L$5,IF(Tabla1[[#This Row],[tamanho]]=$I$6,$L$6,0))))*IF(C760="8_1",9,25))</f>
        <v>4.1462386675588949E-7</v>
      </c>
    </row>
    <row r="761" spans="1:6" ht="12.75" x14ac:dyDescent="0.2">
      <c r="A761" s="1">
        <v>31</v>
      </c>
      <c r="B761" s="1">
        <v>3</v>
      </c>
      <c r="C761" s="1" t="s">
        <v>5</v>
      </c>
      <c r="D761" s="1" t="s">
        <v>9</v>
      </c>
      <c r="E761" s="1">
        <v>3.7866554260253902</v>
      </c>
      <c r="F761" s="1">
        <f>Tabla1[[#This Row],[tiempo]]/(IF(Tabla1[[#This Row],[tamanho]]=$I$3,$L$3,IF(Tabla1[[#This Row],[tamanho]]=$I$4,$L$4,IF(Tabla1[[#This Row],[tamanho]]=$I$5,$L$5,IF(Tabla1[[#This Row],[tamanho]]=$I$6,$L$6,0))))*IF(C761="8_1",9,25))</f>
        <v>1.0181160010468138E-6</v>
      </c>
    </row>
    <row r="762" spans="1:6" ht="12.75" x14ac:dyDescent="0.2">
      <c r="A762" s="1">
        <v>31</v>
      </c>
      <c r="B762" s="1">
        <v>3</v>
      </c>
      <c r="C762" s="1" t="s">
        <v>7</v>
      </c>
      <c r="D762" s="1" t="s">
        <v>9</v>
      </c>
      <c r="E762" s="1">
        <v>4.2987036705017001</v>
      </c>
      <c r="F762" s="1">
        <f>Tabla1[[#This Row],[tiempo]]/(IF(Tabla1[[#This Row],[tamanho]]=$I$3,$L$3,IF(Tabla1[[#This Row],[tamanho]]=$I$4,$L$4,IF(Tabla1[[#This Row],[tamanho]]=$I$5,$L$5,IF(Tabla1[[#This Row],[tamanho]]=$I$6,$L$6,0))))*IF(C762="8_1",9,25))</f>
        <v>4.1608444904227679E-7</v>
      </c>
    </row>
    <row r="763" spans="1:6" ht="12.75" x14ac:dyDescent="0.2">
      <c r="A763" s="1">
        <v>31</v>
      </c>
      <c r="B763" s="1">
        <v>3</v>
      </c>
      <c r="C763" s="1" t="s">
        <v>8</v>
      </c>
      <c r="D763" s="1" t="s">
        <v>9</v>
      </c>
      <c r="E763" s="1">
        <v>4.2908225059509197</v>
      </c>
      <c r="F763" s="1">
        <f>Tabla1[[#This Row],[tiempo]]/(IF(Tabla1[[#This Row],[tamanho]]=$I$3,$L$3,IF(Tabla1[[#This Row],[tamanho]]=$I$4,$L$4,IF(Tabla1[[#This Row],[tamanho]]=$I$5,$L$5,IF(Tabla1[[#This Row],[tamanho]]=$I$6,$L$6,0))))*IF(C763="8_1",9,25))</f>
        <v>4.1532160743669567E-7</v>
      </c>
    </row>
    <row r="764" spans="1:6" ht="12.75" x14ac:dyDescent="0.2">
      <c r="A764" s="1">
        <v>31</v>
      </c>
      <c r="B764" s="1">
        <v>4</v>
      </c>
      <c r="C764" s="1" t="s">
        <v>5</v>
      </c>
      <c r="D764" s="1" t="s">
        <v>6</v>
      </c>
      <c r="E764" s="1">
        <v>6.7849671840667698</v>
      </c>
      <c r="F764" s="1">
        <f>Tabla1[[#This Row],[tiempo]]/(IF(Tabla1[[#This Row],[tamanho]]=$I$3,$L$3,IF(Tabla1[[#This Row],[tamanho]]=$I$4,$L$4,IF(Tabla1[[#This Row],[tamanho]]=$I$5,$L$5,IF(Tabla1[[#This Row],[tamanho]]=$I$6,$L$6,0))))*IF(C764="8_1",9,25))</f>
        <v>1.0245748422799113E-6</v>
      </c>
    </row>
    <row r="765" spans="1:6" ht="12.75" x14ac:dyDescent="0.2">
      <c r="A765" s="1">
        <v>31</v>
      </c>
      <c r="B765" s="1">
        <v>4</v>
      </c>
      <c r="C765" s="1" t="s">
        <v>7</v>
      </c>
      <c r="D765" s="1" t="s">
        <v>6</v>
      </c>
      <c r="E765" s="1">
        <v>7.6002228260040203</v>
      </c>
      <c r="F765" s="1">
        <f>Tabla1[[#This Row],[tiempo]]/(IF(Tabla1[[#This Row],[tamanho]]=$I$3,$L$3,IF(Tabla1[[#This Row],[tamanho]]=$I$4,$L$4,IF(Tabla1[[#This Row],[tamanho]]=$I$5,$L$5,IF(Tabla1[[#This Row],[tamanho]]=$I$6,$L$6,0))))*IF(C765="8_1",9,25))</f>
        <v>4.131661776863655E-7</v>
      </c>
    </row>
    <row r="766" spans="1:6" ht="12.75" x14ac:dyDescent="0.2">
      <c r="A766" s="1">
        <v>31</v>
      </c>
      <c r="B766" s="1">
        <v>4</v>
      </c>
      <c r="C766" s="1" t="s">
        <v>8</v>
      </c>
      <c r="D766" s="1" t="s">
        <v>6</v>
      </c>
      <c r="E766" s="1">
        <v>7.6184194087982098</v>
      </c>
      <c r="F766" s="1">
        <f>Tabla1[[#This Row],[tiempo]]/(IF(Tabla1[[#This Row],[tamanho]]=$I$3,$L$3,IF(Tabla1[[#This Row],[tamanho]]=$I$4,$L$4,IF(Tabla1[[#This Row],[tamanho]]=$I$5,$L$5,IF(Tabla1[[#This Row],[tamanho]]=$I$6,$L$6,0))))*IF(C766="8_1",9,25))</f>
        <v>4.1415538717826427E-7</v>
      </c>
    </row>
    <row r="767" spans="1:6" ht="12.75" x14ac:dyDescent="0.2">
      <c r="A767" s="1">
        <v>31</v>
      </c>
      <c r="B767" s="1">
        <v>4</v>
      </c>
      <c r="C767" s="1" t="s">
        <v>5</v>
      </c>
      <c r="D767" s="1" t="s">
        <v>9</v>
      </c>
      <c r="E767" s="1">
        <v>6.83253693580627</v>
      </c>
      <c r="F767" s="1">
        <f>Tabla1[[#This Row],[tiempo]]/(IF(Tabla1[[#This Row],[tamanho]]=$I$3,$L$3,IF(Tabla1[[#This Row],[tamanho]]=$I$4,$L$4,IF(Tabla1[[#This Row],[tamanho]]=$I$5,$L$5,IF(Tabla1[[#This Row],[tamanho]]=$I$6,$L$6,0))))*IF(C767="8_1",9,25))</f>
        <v>1.0317581888700387E-6</v>
      </c>
    </row>
    <row r="768" spans="1:6" ht="12.75" x14ac:dyDescent="0.2">
      <c r="A768" s="1">
        <v>31</v>
      </c>
      <c r="B768" s="1">
        <v>4</v>
      </c>
      <c r="C768" s="1" t="s">
        <v>7</v>
      </c>
      <c r="D768" s="1" t="s">
        <v>9</v>
      </c>
      <c r="E768" s="1">
        <v>7.6161844730377197</v>
      </c>
      <c r="F768" s="1">
        <f>Tabla1[[#This Row],[tiempo]]/(IF(Tabla1[[#This Row],[tamanho]]=$I$3,$L$3,IF(Tabla1[[#This Row],[tamanho]]=$I$4,$L$4,IF(Tabla1[[#This Row],[tamanho]]=$I$5,$L$5,IF(Tabla1[[#This Row],[tamanho]]=$I$6,$L$6,0))))*IF(C768="8_1",9,25))</f>
        <v>4.1403389075813608E-7</v>
      </c>
    </row>
    <row r="769" spans="1:6" ht="12.75" x14ac:dyDescent="0.2">
      <c r="A769" s="1">
        <v>31</v>
      </c>
      <c r="B769" s="1">
        <v>4</v>
      </c>
      <c r="C769" s="1" t="s">
        <v>8</v>
      </c>
      <c r="D769" s="1" t="s">
        <v>9</v>
      </c>
      <c r="E769" s="1">
        <v>7.6803166866302401</v>
      </c>
      <c r="F769" s="1">
        <f>Tabla1[[#This Row],[tiempo]]/(IF(Tabla1[[#This Row],[tamanho]]=$I$3,$L$3,IF(Tabla1[[#This Row],[tamanho]]=$I$4,$L$4,IF(Tabla1[[#This Row],[tamanho]]=$I$5,$L$5,IF(Tabla1[[#This Row],[tamanho]]=$I$6,$L$6,0))))*IF(C769="8_1",9,25))</f>
        <v>4.1752027032399923E-7</v>
      </c>
    </row>
    <row r="770" spans="1:6" ht="12.75" x14ac:dyDescent="0.2">
      <c r="A770" s="1">
        <v>32</v>
      </c>
      <c r="B770" s="1">
        <v>1</v>
      </c>
      <c r="C770" s="1" t="s">
        <v>5</v>
      </c>
      <c r="D770" s="1" t="s">
        <v>6</v>
      </c>
      <c r="E770" s="1">
        <v>0.39731192588806102</v>
      </c>
      <c r="F770" s="1">
        <f>Tabla1[[#This Row],[tiempo]]/(IF(Tabla1[[#This Row],[tamanho]]=$I$3,$L$3,IF(Tabla1[[#This Row],[tamanho]]=$I$4,$L$4,IF(Tabla1[[#This Row],[tamanho]]=$I$5,$L$5,IF(Tabla1[[#This Row],[tamanho]]=$I$6,$L$6,0))))*IF(C770="8_1",9,25))</f>
        <v>1.6373936257230032E-6</v>
      </c>
    </row>
    <row r="771" spans="1:6" ht="12.75" x14ac:dyDescent="0.2">
      <c r="A771" s="1">
        <v>32</v>
      </c>
      <c r="B771" s="1">
        <v>1</v>
      </c>
      <c r="C771" s="1" t="s">
        <v>7</v>
      </c>
      <c r="D771" s="1" t="s">
        <v>6</v>
      </c>
      <c r="E771" s="1">
        <v>0.45096468925476002</v>
      </c>
      <c r="F771" s="1">
        <f>Tabla1[[#This Row],[tiempo]]/(IF(Tabla1[[#This Row],[tamanho]]=$I$3,$L$3,IF(Tabla1[[#This Row],[tamanho]]=$I$4,$L$4,IF(Tabla1[[#This Row],[tamanho]]=$I$5,$L$5,IF(Tabla1[[#This Row],[tamanho]]=$I$6,$L$6,0))))*IF(C771="8_1",9,25))</f>
        <v>6.6906225919626132E-7</v>
      </c>
    </row>
    <row r="772" spans="1:6" ht="12.75" x14ac:dyDescent="0.2">
      <c r="A772" s="1">
        <v>32</v>
      </c>
      <c r="B772" s="1">
        <v>1</v>
      </c>
      <c r="C772" s="1" t="s">
        <v>8</v>
      </c>
      <c r="D772" s="1" t="s">
        <v>6</v>
      </c>
      <c r="E772" s="1">
        <v>0.46387219429016102</v>
      </c>
      <c r="F772" s="1">
        <f>Tabla1[[#This Row],[tiempo]]/(IF(Tabla1[[#This Row],[tamanho]]=$I$3,$L$3,IF(Tabla1[[#This Row],[tamanho]]=$I$4,$L$4,IF(Tabla1[[#This Row],[tamanho]]=$I$5,$L$5,IF(Tabla1[[#This Row],[tamanho]]=$I$6,$L$6,0))))*IF(C772="8_1",9,25))</f>
        <v>6.8821214983147661E-7</v>
      </c>
    </row>
    <row r="773" spans="1:6" ht="12.75" x14ac:dyDescent="0.2">
      <c r="A773" s="1">
        <v>32</v>
      </c>
      <c r="B773" s="1">
        <v>1</v>
      </c>
      <c r="C773" s="1" t="s">
        <v>5</v>
      </c>
      <c r="D773" s="1" t="s">
        <v>9</v>
      </c>
      <c r="E773" s="1">
        <v>0.41350936889648399</v>
      </c>
      <c r="F773" s="1">
        <f>Tabla1[[#This Row],[tiempo]]/(IF(Tabla1[[#This Row],[tamanho]]=$I$3,$L$3,IF(Tabla1[[#This Row],[tamanho]]=$I$4,$L$4,IF(Tabla1[[#This Row],[tamanho]]=$I$5,$L$5,IF(Tabla1[[#This Row],[tamanho]]=$I$6,$L$6,0))))*IF(C773="8_1",9,25))</f>
        <v>1.704146190161443E-6</v>
      </c>
    </row>
    <row r="774" spans="1:6" ht="12.75" x14ac:dyDescent="0.2">
      <c r="A774" s="1">
        <v>32</v>
      </c>
      <c r="B774" s="1">
        <v>1</v>
      </c>
      <c r="C774" s="1" t="s">
        <v>7</v>
      </c>
      <c r="D774" s="1" t="s">
        <v>9</v>
      </c>
      <c r="E774" s="1">
        <v>0.46170282363891602</v>
      </c>
      <c r="F774" s="1">
        <f>Tabla1[[#This Row],[tiempo]]/(IF(Tabla1[[#This Row],[tamanho]]=$I$3,$L$3,IF(Tabla1[[#This Row],[tamanho]]=$I$4,$L$4,IF(Tabla1[[#This Row],[tamanho]]=$I$5,$L$5,IF(Tabla1[[#This Row],[tamanho]]=$I$6,$L$6,0))))*IF(C774="8_1",9,25))</f>
        <v>6.8499361839533552E-7</v>
      </c>
    </row>
    <row r="775" spans="1:6" ht="12.75" x14ac:dyDescent="0.2">
      <c r="A775" s="1">
        <v>32</v>
      </c>
      <c r="B775" s="1">
        <v>1</v>
      </c>
      <c r="C775" s="1" t="s">
        <v>8</v>
      </c>
      <c r="D775" s="1" t="s">
        <v>9</v>
      </c>
      <c r="E775" s="1">
        <v>0.47800350189208901</v>
      </c>
      <c r="F775" s="1">
        <f>Tabla1[[#This Row],[tiempo]]/(IF(Tabla1[[#This Row],[tamanho]]=$I$3,$L$3,IF(Tabla1[[#This Row],[tamanho]]=$I$4,$L$4,IF(Tabla1[[#This Row],[tamanho]]=$I$5,$L$5,IF(Tabla1[[#This Row],[tamanho]]=$I$6,$L$6,0))))*IF(C775="8_1",9,25))</f>
        <v>7.0917770393099512E-7</v>
      </c>
    </row>
    <row r="776" spans="1:6" ht="12.75" x14ac:dyDescent="0.2">
      <c r="A776" s="1">
        <v>32</v>
      </c>
      <c r="B776" s="1">
        <v>2</v>
      </c>
      <c r="C776" s="1" t="s">
        <v>5</v>
      </c>
      <c r="D776" s="1" t="s">
        <v>6</v>
      </c>
      <c r="E776" s="1">
        <v>1.66359710693359</v>
      </c>
      <c r="F776" s="1">
        <f>Tabla1[[#This Row],[tiempo]]/(IF(Tabla1[[#This Row],[tamanho]]=$I$3,$L$3,IF(Tabla1[[#This Row],[tamanho]]=$I$4,$L$4,IF(Tabla1[[#This Row],[tamanho]]=$I$5,$L$5,IF(Tabla1[[#This Row],[tamanho]]=$I$6,$L$6,0))))*IF(C776="8_1",9,25))</f>
        <v>1.0072041662177893E-6</v>
      </c>
    </row>
    <row r="777" spans="1:6" ht="12.75" x14ac:dyDescent="0.2">
      <c r="A777" s="1">
        <v>32</v>
      </c>
      <c r="B777" s="1">
        <v>2</v>
      </c>
      <c r="C777" s="1" t="s">
        <v>7</v>
      </c>
      <c r="D777" s="1" t="s">
        <v>6</v>
      </c>
      <c r="E777" s="1">
        <v>1.8737704753875699</v>
      </c>
      <c r="F777" s="1">
        <f>Tabla1[[#This Row],[tiempo]]/(IF(Tabla1[[#This Row],[tamanho]]=$I$3,$L$3,IF(Tabla1[[#This Row],[tamanho]]=$I$4,$L$4,IF(Tabla1[[#This Row],[tamanho]]=$I$5,$L$5,IF(Tabla1[[#This Row],[tamanho]]=$I$6,$L$6,0))))*IF(C777="8_1",9,25))</f>
        <v>4.0840236601335425E-7</v>
      </c>
    </row>
    <row r="778" spans="1:6" ht="12.75" x14ac:dyDescent="0.2">
      <c r="A778" s="1">
        <v>32</v>
      </c>
      <c r="B778" s="1">
        <v>2</v>
      </c>
      <c r="C778" s="1" t="s">
        <v>8</v>
      </c>
      <c r="D778" s="1" t="s">
        <v>6</v>
      </c>
      <c r="E778" s="1">
        <v>1.87877798080444</v>
      </c>
      <c r="F778" s="1">
        <f>Tabla1[[#This Row],[tiempo]]/(IF(Tabla1[[#This Row],[tamanho]]=$I$3,$L$3,IF(Tabla1[[#This Row],[tamanho]]=$I$4,$L$4,IF(Tabla1[[#This Row],[tamanho]]=$I$5,$L$5,IF(Tabla1[[#This Row],[tamanho]]=$I$6,$L$6,0))))*IF(C778="8_1",9,25))</f>
        <v>4.0949378947579908E-7</v>
      </c>
    </row>
    <row r="779" spans="1:6" ht="12.75" x14ac:dyDescent="0.2">
      <c r="A779" s="1">
        <v>32</v>
      </c>
      <c r="B779" s="1">
        <v>2</v>
      </c>
      <c r="C779" s="1" t="s">
        <v>5</v>
      </c>
      <c r="D779" s="1" t="s">
        <v>9</v>
      </c>
      <c r="E779" s="1">
        <v>1.67173528671264</v>
      </c>
      <c r="F779" s="1">
        <f>Tabla1[[#This Row],[tiempo]]/(IF(Tabla1[[#This Row],[tamanho]]=$I$3,$L$3,IF(Tabla1[[#This Row],[tamanho]]=$I$4,$L$4,IF(Tabla1[[#This Row],[tamanho]]=$I$5,$L$5,IF(Tabla1[[#This Row],[tamanho]]=$I$6,$L$6,0))))*IF(C779="8_1",9,25))</f>
        <v>1.0121313258916824E-6</v>
      </c>
    </row>
    <row r="780" spans="1:6" ht="12.75" x14ac:dyDescent="0.2">
      <c r="A780" s="1">
        <v>32</v>
      </c>
      <c r="B780" s="1">
        <v>2</v>
      </c>
      <c r="C780" s="1" t="s">
        <v>7</v>
      </c>
      <c r="D780" s="1" t="s">
        <v>9</v>
      </c>
      <c r="E780" s="1">
        <v>1.8632624149322501</v>
      </c>
      <c r="F780" s="1">
        <f>Tabla1[[#This Row],[tiempo]]/(IF(Tabla1[[#This Row],[tamanho]]=$I$3,$L$3,IF(Tabla1[[#This Row],[tamanho]]=$I$4,$L$4,IF(Tabla1[[#This Row],[tamanho]]=$I$5,$L$5,IF(Tabla1[[#This Row],[tamanho]]=$I$6,$L$6,0))))*IF(C780="8_1",9,25))</f>
        <v>4.0611205521566901E-7</v>
      </c>
    </row>
    <row r="781" spans="1:6" ht="12.75" x14ac:dyDescent="0.2">
      <c r="A781" s="1">
        <v>32</v>
      </c>
      <c r="B781" s="1">
        <v>2</v>
      </c>
      <c r="C781" s="1" t="s">
        <v>8</v>
      </c>
      <c r="D781" s="1" t="s">
        <v>9</v>
      </c>
      <c r="E781" s="1">
        <v>1.9021553993225</v>
      </c>
      <c r="F781" s="1">
        <f>Tabla1[[#This Row],[tiempo]]/(IF(Tabla1[[#This Row],[tamanho]]=$I$3,$L$3,IF(Tabla1[[#This Row],[tamanho]]=$I$4,$L$4,IF(Tabla1[[#This Row],[tamanho]]=$I$5,$L$5,IF(Tabla1[[#This Row],[tamanho]]=$I$6,$L$6,0))))*IF(C781="8_1",9,25))</f>
        <v>4.1458907364185222E-7</v>
      </c>
    </row>
    <row r="782" spans="1:6" ht="12.75" x14ac:dyDescent="0.2">
      <c r="A782" s="1">
        <v>32</v>
      </c>
      <c r="B782" s="1">
        <v>3</v>
      </c>
      <c r="C782" s="1" t="s">
        <v>5</v>
      </c>
      <c r="D782" s="1" t="s">
        <v>6</v>
      </c>
      <c r="E782" s="1">
        <v>3.7928609848022399</v>
      </c>
      <c r="F782" s="1">
        <f>Tabla1[[#This Row],[tiempo]]/(IF(Tabla1[[#This Row],[tamanho]]=$I$3,$L$3,IF(Tabla1[[#This Row],[tamanho]]=$I$4,$L$4,IF(Tabla1[[#This Row],[tamanho]]=$I$5,$L$5,IF(Tabla1[[#This Row],[tamanho]]=$I$6,$L$6,0))))*IF(C782="8_1",9,25))</f>
        <v>1.0197844862865121E-6</v>
      </c>
    </row>
    <row r="783" spans="1:6" ht="12.75" x14ac:dyDescent="0.2">
      <c r="A783" s="1">
        <v>32</v>
      </c>
      <c r="B783" s="1">
        <v>3</v>
      </c>
      <c r="C783" s="1" t="s">
        <v>7</v>
      </c>
      <c r="D783" s="1" t="s">
        <v>6</v>
      </c>
      <c r="E783" s="1">
        <v>4.26291751861572</v>
      </c>
      <c r="F783" s="1">
        <f>Tabla1[[#This Row],[tiempo]]/(IF(Tabla1[[#This Row],[tamanho]]=$I$3,$L$3,IF(Tabla1[[#This Row],[tamanho]]=$I$4,$L$4,IF(Tabla1[[#This Row],[tamanho]]=$I$5,$L$5,IF(Tabla1[[#This Row],[tamanho]]=$I$6,$L$6,0))))*IF(C783="8_1",9,25))</f>
        <v>4.1262059983745745E-7</v>
      </c>
    </row>
    <row r="784" spans="1:6" ht="12.75" x14ac:dyDescent="0.2">
      <c r="A784" s="1">
        <v>32</v>
      </c>
      <c r="B784" s="1">
        <v>3</v>
      </c>
      <c r="C784" s="1" t="s">
        <v>8</v>
      </c>
      <c r="D784" s="1" t="s">
        <v>6</v>
      </c>
      <c r="E784" s="1">
        <v>4.2812414169311497</v>
      </c>
      <c r="F784" s="1">
        <f>Tabla1[[#This Row],[tiempo]]/(IF(Tabla1[[#This Row],[tamanho]]=$I$3,$L$3,IF(Tabla1[[#This Row],[tamanho]]=$I$4,$L$4,IF(Tabla1[[#This Row],[tamanho]]=$I$5,$L$5,IF(Tabla1[[#This Row],[tamanho]]=$I$6,$L$6,0))))*IF(C784="8_1",9,25))</f>
        <v>4.1439422503223444E-7</v>
      </c>
    </row>
    <row r="785" spans="1:6" ht="12.75" x14ac:dyDescent="0.2">
      <c r="A785" s="1">
        <v>32</v>
      </c>
      <c r="B785" s="1">
        <v>3</v>
      </c>
      <c r="C785" s="1" t="s">
        <v>5</v>
      </c>
      <c r="D785" s="1" t="s">
        <v>9</v>
      </c>
      <c r="E785" s="1">
        <v>3.8178901672363201</v>
      </c>
      <c r="F785" s="1">
        <f>Tabla1[[#This Row],[tiempo]]/(IF(Tabla1[[#This Row],[tamanho]]=$I$3,$L$3,IF(Tabla1[[#This Row],[tamanho]]=$I$4,$L$4,IF(Tabla1[[#This Row],[tamanho]]=$I$5,$L$5,IF(Tabla1[[#This Row],[tamanho]]=$I$6,$L$6,0))))*IF(C785="8_1",9,25))</f>
        <v>1.0265140690613579E-6</v>
      </c>
    </row>
    <row r="786" spans="1:6" ht="12.75" x14ac:dyDescent="0.2">
      <c r="A786" s="1">
        <v>32</v>
      </c>
      <c r="B786" s="1">
        <v>3</v>
      </c>
      <c r="C786" s="1" t="s">
        <v>7</v>
      </c>
      <c r="D786" s="1" t="s">
        <v>9</v>
      </c>
      <c r="E786" s="1">
        <v>4.2730114459991402</v>
      </c>
      <c r="F786" s="1">
        <f>Tabla1[[#This Row],[tiempo]]/(IF(Tabla1[[#This Row],[tamanho]]=$I$3,$L$3,IF(Tabla1[[#This Row],[tamanho]]=$I$4,$L$4,IF(Tabla1[[#This Row],[tamanho]]=$I$5,$L$5,IF(Tabla1[[#This Row],[tamanho]]=$I$6,$L$6,0))))*IF(C786="8_1",9,25))</f>
        <v>4.1359762140859376E-7</v>
      </c>
    </row>
    <row r="787" spans="1:6" ht="12.75" x14ac:dyDescent="0.2">
      <c r="A787" s="1">
        <v>32</v>
      </c>
      <c r="B787" s="1">
        <v>3</v>
      </c>
      <c r="C787" s="1" t="s">
        <v>8</v>
      </c>
      <c r="D787" s="1" t="s">
        <v>9</v>
      </c>
      <c r="E787" s="1">
        <v>4.3160431385040203</v>
      </c>
      <c r="F787" s="1">
        <f>Tabla1[[#This Row],[tiempo]]/(IF(Tabla1[[#This Row],[tamanho]]=$I$3,$L$3,IF(Tabla1[[#This Row],[tamanho]]=$I$4,$L$4,IF(Tabla1[[#This Row],[tamanho]]=$I$5,$L$5,IF(Tabla1[[#This Row],[tamanho]]=$I$6,$L$6,0))))*IF(C787="8_1",9,25))</f>
        <v>4.1776278826810891E-7</v>
      </c>
    </row>
    <row r="788" spans="1:6" ht="12.75" x14ac:dyDescent="0.2">
      <c r="A788" s="1">
        <v>32</v>
      </c>
      <c r="B788" s="1">
        <v>4</v>
      </c>
      <c r="C788" s="1" t="s">
        <v>5</v>
      </c>
      <c r="D788" s="1" t="s">
        <v>6</v>
      </c>
      <c r="E788" s="1">
        <v>6.8051953315734801</v>
      </c>
      <c r="F788" s="1">
        <f>Tabla1[[#This Row],[tiempo]]/(IF(Tabla1[[#This Row],[tamanho]]=$I$3,$L$3,IF(Tabla1[[#This Row],[tamanho]]=$I$4,$L$4,IF(Tabla1[[#This Row],[tamanho]]=$I$5,$L$5,IF(Tabla1[[#This Row],[tamanho]]=$I$6,$L$6,0))))*IF(C788="8_1",9,25))</f>
        <v>1.0276294261089932E-6</v>
      </c>
    </row>
    <row r="789" spans="1:6" ht="12.75" x14ac:dyDescent="0.2">
      <c r="A789" s="1">
        <v>32</v>
      </c>
      <c r="B789" s="1">
        <v>4</v>
      </c>
      <c r="C789" s="1" t="s">
        <v>7</v>
      </c>
      <c r="D789" s="1" t="s">
        <v>6</v>
      </c>
      <c r="E789" s="1">
        <v>7.6056602001190097</v>
      </c>
      <c r="F789" s="1">
        <f>Tabla1[[#This Row],[tiempo]]/(IF(Tabla1[[#This Row],[tamanho]]=$I$3,$L$3,IF(Tabla1[[#This Row],[tamanho]]=$I$4,$L$4,IF(Tabla1[[#This Row],[tamanho]]=$I$5,$L$5,IF(Tabla1[[#This Row],[tamanho]]=$I$6,$L$6,0))))*IF(C789="8_1",9,25))</f>
        <v>4.1346176626727585E-7</v>
      </c>
    </row>
    <row r="790" spans="1:6" ht="12.75" x14ac:dyDescent="0.2">
      <c r="A790" s="1">
        <v>32</v>
      </c>
      <c r="B790" s="1">
        <v>4</v>
      </c>
      <c r="C790" s="1" t="s">
        <v>8</v>
      </c>
      <c r="D790" s="1" t="s">
        <v>6</v>
      </c>
      <c r="E790" s="1">
        <v>7.7393486499786297</v>
      </c>
      <c r="F790" s="1">
        <f>Tabla1[[#This Row],[tiempo]]/(IF(Tabla1[[#This Row],[tamanho]]=$I$3,$L$3,IF(Tabla1[[#This Row],[tamanho]]=$I$4,$L$4,IF(Tabla1[[#This Row],[tamanho]]=$I$5,$L$5,IF(Tabla1[[#This Row],[tamanho]]=$I$6,$L$6,0))))*IF(C790="8_1",9,25))</f>
        <v>4.2072938816387699E-7</v>
      </c>
    </row>
    <row r="791" spans="1:6" ht="12.75" x14ac:dyDescent="0.2">
      <c r="A791" s="1">
        <v>32</v>
      </c>
      <c r="B791" s="1">
        <v>4</v>
      </c>
      <c r="C791" s="1" t="s">
        <v>5</v>
      </c>
      <c r="D791" s="1" t="s">
        <v>9</v>
      </c>
      <c r="E791" s="1">
        <v>6.8653025627136204</v>
      </c>
      <c r="F791" s="1">
        <f>Tabla1[[#This Row],[tiempo]]/(IF(Tabla1[[#This Row],[tamanho]]=$I$3,$L$3,IF(Tabla1[[#This Row],[tamanho]]=$I$4,$L$4,IF(Tabla1[[#This Row],[tamanho]]=$I$5,$L$5,IF(Tabla1[[#This Row],[tamanho]]=$I$6,$L$6,0))))*IF(C791="8_1",9,25))</f>
        <v>1.0367060148668448E-6</v>
      </c>
    </row>
    <row r="792" spans="1:6" ht="12.75" x14ac:dyDescent="0.2">
      <c r="A792" s="1">
        <v>32</v>
      </c>
      <c r="B792" s="1">
        <v>4</v>
      </c>
      <c r="C792" s="1" t="s">
        <v>7</v>
      </c>
      <c r="D792" s="1" t="s">
        <v>9</v>
      </c>
      <c r="E792" s="1">
        <v>7.6188619136810303</v>
      </c>
      <c r="F792" s="1">
        <f>Tabla1[[#This Row],[tiempo]]/(IF(Tabla1[[#This Row],[tamanho]]=$I$3,$L$3,IF(Tabla1[[#This Row],[tamanho]]=$I$4,$L$4,IF(Tabla1[[#This Row],[tamanho]]=$I$5,$L$5,IF(Tabla1[[#This Row],[tamanho]]=$I$6,$L$6,0))))*IF(C792="8_1",9,25))</f>
        <v>4.1417944279547814E-7</v>
      </c>
    </row>
    <row r="793" spans="1:6" ht="12.75" x14ac:dyDescent="0.2">
      <c r="A793" s="1">
        <v>32</v>
      </c>
      <c r="B793" s="1">
        <v>4</v>
      </c>
      <c r="C793" s="1" t="s">
        <v>8</v>
      </c>
      <c r="D793" s="1" t="s">
        <v>9</v>
      </c>
      <c r="E793" s="1">
        <v>7.7217488288879297</v>
      </c>
      <c r="F793" s="1">
        <f>Tabla1[[#This Row],[tiempo]]/(IF(Tabla1[[#This Row],[tamanho]]=$I$3,$L$3,IF(Tabla1[[#This Row],[tamanho]]=$I$4,$L$4,IF(Tabla1[[#This Row],[tamanho]]=$I$5,$L$5,IF(Tabla1[[#This Row],[tamanho]]=$I$6,$L$6,0))))*IF(C793="8_1",9,25))</f>
        <v>4.197726200566146E-7</v>
      </c>
    </row>
    <row r="794" spans="1:6" ht="12.75" x14ac:dyDescent="0.2">
      <c r="A794" s="1">
        <v>33</v>
      </c>
      <c r="B794" s="1">
        <v>1</v>
      </c>
      <c r="C794" s="1" t="s">
        <v>5</v>
      </c>
      <c r="D794" s="1" t="s">
        <v>6</v>
      </c>
      <c r="E794" s="1">
        <v>0.40524935722351002</v>
      </c>
      <c r="F794" s="1">
        <f>Tabla1[[#This Row],[tiempo]]/(IF(Tabla1[[#This Row],[tamanho]]=$I$3,$L$3,IF(Tabla1[[#This Row],[tamanho]]=$I$4,$L$4,IF(Tabla1[[#This Row],[tamanho]]=$I$5,$L$5,IF(Tabla1[[#This Row],[tamanho]]=$I$6,$L$6,0))))*IF(C794="8_1",9,25))</f>
        <v>1.6701052022613322E-6</v>
      </c>
    </row>
    <row r="795" spans="1:6" ht="12.75" x14ac:dyDescent="0.2">
      <c r="A795" s="1">
        <v>33</v>
      </c>
      <c r="B795" s="1">
        <v>1</v>
      </c>
      <c r="C795" s="1" t="s">
        <v>7</v>
      </c>
      <c r="D795" s="1" t="s">
        <v>6</v>
      </c>
      <c r="E795" s="1">
        <v>0.45645380020141602</v>
      </c>
      <c r="F795" s="1">
        <f>Tabla1[[#This Row],[tiempo]]/(IF(Tabla1[[#This Row],[tamanho]]=$I$3,$L$3,IF(Tabla1[[#This Row],[tamanho]]=$I$4,$L$4,IF(Tabla1[[#This Row],[tamanho]]=$I$5,$L$5,IF(Tabla1[[#This Row],[tamanho]]=$I$6,$L$6,0))))*IF(C795="8_1",9,25))</f>
        <v>6.7720603865051891E-7</v>
      </c>
    </row>
    <row r="796" spans="1:6" ht="12.75" x14ac:dyDescent="0.2">
      <c r="A796" s="1">
        <v>33</v>
      </c>
      <c r="B796" s="1">
        <v>1</v>
      </c>
      <c r="C796" s="1" t="s">
        <v>8</v>
      </c>
      <c r="D796" s="1" t="s">
        <v>6</v>
      </c>
      <c r="E796" s="1">
        <v>0.46058535575866699</v>
      </c>
      <c r="F796" s="1">
        <f>Tabla1[[#This Row],[tiempo]]/(IF(Tabla1[[#This Row],[tamanho]]=$I$3,$L$3,IF(Tabla1[[#This Row],[tamanho]]=$I$4,$L$4,IF(Tabla1[[#This Row],[tamanho]]=$I$5,$L$5,IF(Tabla1[[#This Row],[tamanho]]=$I$6,$L$6,0))))*IF(C796="8_1",9,25))</f>
        <v>6.8333571567622414E-7</v>
      </c>
    </row>
    <row r="797" spans="1:6" ht="12.75" x14ac:dyDescent="0.2">
      <c r="A797" s="1">
        <v>33</v>
      </c>
      <c r="B797" s="1">
        <v>1</v>
      </c>
      <c r="C797" s="1" t="s">
        <v>5</v>
      </c>
      <c r="D797" s="1" t="s">
        <v>9</v>
      </c>
      <c r="E797" s="1">
        <v>0.40943932533264099</v>
      </c>
      <c r="F797" s="1">
        <f>Tabla1[[#This Row],[tiempo]]/(IF(Tabla1[[#This Row],[tamanho]]=$I$3,$L$3,IF(Tabla1[[#This Row],[tamanho]]=$I$4,$L$4,IF(Tabla1[[#This Row],[tamanho]]=$I$5,$L$5,IF(Tabla1[[#This Row],[tamanho]]=$I$6,$L$6,0))))*IF(C797="8_1",9,25))</f>
        <v>1.6873728114793013E-6</v>
      </c>
    </row>
    <row r="798" spans="1:6" ht="12.75" x14ac:dyDescent="0.2">
      <c r="A798" s="1">
        <v>33</v>
      </c>
      <c r="B798" s="1">
        <v>1</v>
      </c>
      <c r="C798" s="1" t="s">
        <v>7</v>
      </c>
      <c r="D798" s="1" t="s">
        <v>9</v>
      </c>
      <c r="E798" s="1">
        <v>0.45491075515746998</v>
      </c>
      <c r="F798" s="1">
        <f>Tabla1[[#This Row],[tiempo]]/(IF(Tabla1[[#This Row],[tamanho]]=$I$3,$L$3,IF(Tabla1[[#This Row],[tamanho]]=$I$4,$L$4,IF(Tabla1[[#This Row],[tamanho]]=$I$5,$L$5,IF(Tabla1[[#This Row],[tamanho]]=$I$6,$L$6,0))))*IF(C798="8_1",9,25))</f>
        <v>6.7491673922698708E-7</v>
      </c>
    </row>
    <row r="799" spans="1:6" ht="12.75" x14ac:dyDescent="0.2">
      <c r="A799" s="1">
        <v>33</v>
      </c>
      <c r="B799" s="1">
        <v>1</v>
      </c>
      <c r="C799" s="1" t="s">
        <v>8</v>
      </c>
      <c r="D799" s="1" t="s">
        <v>9</v>
      </c>
      <c r="E799" s="1">
        <v>0.46062088012695301</v>
      </c>
      <c r="F799" s="1">
        <f>Tabla1[[#This Row],[tiempo]]/(IF(Tabla1[[#This Row],[tamanho]]=$I$3,$L$3,IF(Tabla1[[#This Row],[tamanho]]=$I$4,$L$4,IF(Tabla1[[#This Row],[tamanho]]=$I$5,$L$5,IF(Tabla1[[#This Row],[tamanho]]=$I$6,$L$6,0))))*IF(C799="8_1",9,25))</f>
        <v>6.8338842049916998E-7</v>
      </c>
    </row>
    <row r="800" spans="1:6" ht="12.75" x14ac:dyDescent="0.2">
      <c r="A800" s="1">
        <v>33</v>
      </c>
      <c r="B800" s="1">
        <v>2</v>
      </c>
      <c r="C800" s="1" t="s">
        <v>5</v>
      </c>
      <c r="D800" s="1" t="s">
        <v>6</v>
      </c>
      <c r="E800" s="1">
        <v>1.6787123680114699</v>
      </c>
      <c r="F800" s="1">
        <f>Tabla1[[#This Row],[tiempo]]/(IF(Tabla1[[#This Row],[tamanho]]=$I$3,$L$3,IF(Tabla1[[#This Row],[tamanho]]=$I$4,$L$4,IF(Tabla1[[#This Row],[tamanho]]=$I$5,$L$5,IF(Tabla1[[#This Row],[tamanho]]=$I$6,$L$6,0))))*IF(C800="8_1",9,25))</f>
        <v>1.0163555129396959E-6</v>
      </c>
    </row>
    <row r="801" spans="1:6" ht="12.75" x14ac:dyDescent="0.2">
      <c r="A801" s="1">
        <v>33</v>
      </c>
      <c r="B801" s="1">
        <v>2</v>
      </c>
      <c r="C801" s="1" t="s">
        <v>7</v>
      </c>
      <c r="D801" s="1" t="s">
        <v>6</v>
      </c>
      <c r="E801" s="1">
        <v>1.8907785415649401</v>
      </c>
      <c r="F801" s="1">
        <f>Tabla1[[#This Row],[tiempo]]/(IF(Tabla1[[#This Row],[tamanho]]=$I$3,$L$3,IF(Tabla1[[#This Row],[tamanho]]=$I$4,$L$4,IF(Tabla1[[#This Row],[tamanho]]=$I$5,$L$5,IF(Tabla1[[#This Row],[tamanho]]=$I$6,$L$6,0))))*IF(C801="8_1",9,25))</f>
        <v>4.1210940193871908E-7</v>
      </c>
    </row>
    <row r="802" spans="1:6" ht="12.75" x14ac:dyDescent="0.2">
      <c r="A802" s="1">
        <v>33</v>
      </c>
      <c r="B802" s="1">
        <v>2</v>
      </c>
      <c r="C802" s="1" t="s">
        <v>8</v>
      </c>
      <c r="D802" s="1" t="s">
        <v>6</v>
      </c>
      <c r="E802" s="1">
        <v>1.8775677680969201</v>
      </c>
      <c r="F802" s="1">
        <f>Tabla1[[#This Row],[tiempo]]/(IF(Tabla1[[#This Row],[tamanho]]=$I$3,$L$3,IF(Tabla1[[#This Row],[tamanho]]=$I$4,$L$4,IF(Tabla1[[#This Row],[tamanho]]=$I$5,$L$5,IF(Tabla1[[#This Row],[tamanho]]=$I$6,$L$6,0))))*IF(C802="8_1",9,25))</f>
        <v>4.0923001451529955E-7</v>
      </c>
    </row>
    <row r="803" spans="1:6" ht="12.75" x14ac:dyDescent="0.2">
      <c r="A803" s="1">
        <v>33</v>
      </c>
      <c r="B803" s="1">
        <v>2</v>
      </c>
      <c r="C803" s="1" t="s">
        <v>5</v>
      </c>
      <c r="D803" s="1" t="s">
        <v>9</v>
      </c>
      <c r="E803" s="1">
        <v>1.6787374019622801</v>
      </c>
      <c r="F803" s="1">
        <f>Tabla1[[#This Row],[tiempo]]/(IF(Tabla1[[#This Row],[tamanho]]=$I$3,$L$3,IF(Tabla1[[#This Row],[tamanho]]=$I$4,$L$4,IF(Tabla1[[#This Row],[tamanho]]=$I$5,$L$5,IF(Tabla1[[#This Row],[tamanho]]=$I$6,$L$6,0))))*IF(C803="8_1",9,25))</f>
        <v>1.0163706694336859E-6</v>
      </c>
    </row>
    <row r="804" spans="1:6" ht="12.75" x14ac:dyDescent="0.2">
      <c r="A804" s="1">
        <v>33</v>
      </c>
      <c r="B804" s="1">
        <v>2</v>
      </c>
      <c r="C804" s="1" t="s">
        <v>7</v>
      </c>
      <c r="D804" s="1" t="s">
        <v>9</v>
      </c>
      <c r="E804" s="1">
        <v>1.8819706439971899</v>
      </c>
      <c r="F804" s="1">
        <f>Tabla1[[#This Row],[tiempo]]/(IF(Tabla1[[#This Row],[tamanho]]=$I$3,$L$3,IF(Tabla1[[#This Row],[tamanho]]=$I$4,$L$4,IF(Tabla1[[#This Row],[tamanho]]=$I$5,$L$5,IF(Tabla1[[#This Row],[tamanho]]=$I$6,$L$6,0))))*IF(C804="8_1",9,25))</f>
        <v>4.1018965442773942E-7</v>
      </c>
    </row>
    <row r="805" spans="1:6" ht="12.75" x14ac:dyDescent="0.2">
      <c r="A805" s="1">
        <v>33</v>
      </c>
      <c r="B805" s="1">
        <v>2</v>
      </c>
      <c r="C805" s="1" t="s">
        <v>8</v>
      </c>
      <c r="D805" s="1" t="s">
        <v>9</v>
      </c>
      <c r="E805" s="1">
        <v>1.89044117927551</v>
      </c>
      <c r="F805" s="1">
        <f>Tabla1[[#This Row],[tiempo]]/(IF(Tabla1[[#This Row],[tamanho]]=$I$3,$L$3,IF(Tabla1[[#This Row],[tamanho]]=$I$4,$L$4,IF(Tabla1[[#This Row],[tamanho]]=$I$5,$L$5,IF(Tabla1[[#This Row],[tamanho]]=$I$6,$L$6,0))))*IF(C805="8_1",9,25))</f>
        <v>4.1203587129074663E-7</v>
      </c>
    </row>
    <row r="806" spans="1:6" ht="12.75" x14ac:dyDescent="0.2">
      <c r="A806" s="1">
        <v>33</v>
      </c>
      <c r="B806" s="1">
        <v>3</v>
      </c>
      <c r="C806" s="1" t="s">
        <v>5</v>
      </c>
      <c r="D806" s="1" t="s">
        <v>6</v>
      </c>
      <c r="E806" s="1">
        <v>3.7879171371459899</v>
      </c>
      <c r="F806" s="1">
        <f>Tabla1[[#This Row],[tiempo]]/(IF(Tabla1[[#This Row],[tamanho]]=$I$3,$L$3,IF(Tabla1[[#This Row],[tamanho]]=$I$4,$L$4,IF(Tabla1[[#This Row],[tamanho]]=$I$5,$L$5,IF(Tabla1[[#This Row],[tamanho]]=$I$6,$L$6,0))))*IF(C806="8_1",9,25))</f>
        <v>1.0184552366349669E-6</v>
      </c>
    </row>
    <row r="807" spans="1:6" ht="12.75" x14ac:dyDescent="0.2">
      <c r="A807" s="1">
        <v>33</v>
      </c>
      <c r="B807" s="1">
        <v>3</v>
      </c>
      <c r="C807" s="1" t="s">
        <v>7</v>
      </c>
      <c r="D807" s="1" t="s">
        <v>6</v>
      </c>
      <c r="E807" s="1">
        <v>4.26366710662841</v>
      </c>
      <c r="F807" s="1">
        <f>Tabla1[[#This Row],[tiempo]]/(IF(Tabla1[[#This Row],[tamanho]]=$I$3,$L$3,IF(Tabla1[[#This Row],[tamanho]]=$I$4,$L$4,IF(Tabla1[[#This Row],[tamanho]]=$I$5,$L$5,IF(Tabla1[[#This Row],[tamanho]]=$I$6,$L$6,0))))*IF(C807="8_1",9,25))</f>
        <v>4.1269315471427041E-7</v>
      </c>
    </row>
    <row r="808" spans="1:6" ht="12.75" x14ac:dyDescent="0.2">
      <c r="A808" s="1">
        <v>33</v>
      </c>
      <c r="B808" s="1">
        <v>3</v>
      </c>
      <c r="C808" s="1" t="s">
        <v>8</v>
      </c>
      <c r="D808" s="1" t="s">
        <v>6</v>
      </c>
      <c r="E808" s="1">
        <v>4.29581475257873</v>
      </c>
      <c r="F808" s="1">
        <f>Tabla1[[#This Row],[tiempo]]/(IF(Tabla1[[#This Row],[tamanho]]=$I$3,$L$3,IF(Tabla1[[#This Row],[tamanho]]=$I$4,$L$4,IF(Tabla1[[#This Row],[tamanho]]=$I$5,$L$5,IF(Tabla1[[#This Row],[tamanho]]=$I$6,$L$6,0))))*IF(C808="8_1",9,25))</f>
        <v>4.1580482199318385E-7</v>
      </c>
    </row>
    <row r="809" spans="1:6" ht="12.75" x14ac:dyDescent="0.2">
      <c r="A809" s="1">
        <v>33</v>
      </c>
      <c r="B809" s="1">
        <v>3</v>
      </c>
      <c r="C809" s="1" t="s">
        <v>5</v>
      </c>
      <c r="D809" s="1" t="s">
        <v>9</v>
      </c>
      <c r="E809" s="1">
        <v>3.8139636516571001</v>
      </c>
      <c r="F809" s="1">
        <f>Tabla1[[#This Row],[tiempo]]/(IF(Tabla1[[#This Row],[tamanho]]=$I$3,$L$3,IF(Tabla1[[#This Row],[tamanho]]=$I$4,$L$4,IF(Tabla1[[#This Row],[tamanho]]=$I$5,$L$5,IF(Tabla1[[#This Row],[tamanho]]=$I$6,$L$6,0))))*IF(C809="8_1",9,25))</f>
        <v>1.0254583489363927E-6</v>
      </c>
    </row>
    <row r="810" spans="1:6" ht="12.75" x14ac:dyDescent="0.2">
      <c r="A810" s="1">
        <v>33</v>
      </c>
      <c r="B810" s="1">
        <v>3</v>
      </c>
      <c r="C810" s="1" t="s">
        <v>7</v>
      </c>
      <c r="D810" s="1" t="s">
        <v>9</v>
      </c>
      <c r="E810" s="1">
        <v>4.2665884494781396</v>
      </c>
      <c r="F810" s="1">
        <f>Tabla1[[#This Row],[tiempo]]/(IF(Tabla1[[#This Row],[tamanho]]=$I$3,$L$3,IF(Tabla1[[#This Row],[tamanho]]=$I$4,$L$4,IF(Tabla1[[#This Row],[tamanho]]=$I$5,$L$5,IF(Tabla1[[#This Row],[tamanho]]=$I$6,$L$6,0))))*IF(C810="8_1",9,25))</f>
        <v>4.1297592026948523E-7</v>
      </c>
    </row>
    <row r="811" spans="1:6" ht="12.75" x14ac:dyDescent="0.2">
      <c r="A811" s="1">
        <v>33</v>
      </c>
      <c r="B811" s="1">
        <v>3</v>
      </c>
      <c r="C811" s="1" t="s">
        <v>8</v>
      </c>
      <c r="D811" s="1" t="s">
        <v>9</v>
      </c>
      <c r="E811" s="1">
        <v>4.2904529571533203</v>
      </c>
      <c r="F811" s="1">
        <f>Tabla1[[#This Row],[tiempo]]/(IF(Tabla1[[#This Row],[tamanho]]=$I$3,$L$3,IF(Tabla1[[#This Row],[tamanho]]=$I$4,$L$4,IF(Tabla1[[#This Row],[tamanho]]=$I$5,$L$5,IF(Tabla1[[#This Row],[tamanho]]=$I$6,$L$6,0))))*IF(C811="8_1",9,25))</f>
        <v>4.1528583769780935E-7</v>
      </c>
    </row>
    <row r="812" spans="1:6" ht="12.75" x14ac:dyDescent="0.2">
      <c r="A812" s="1">
        <v>33</v>
      </c>
      <c r="B812" s="1">
        <v>4</v>
      </c>
      <c r="C812" s="1" t="s">
        <v>5</v>
      </c>
      <c r="D812" s="1" t="s">
        <v>6</v>
      </c>
      <c r="E812" s="1">
        <v>6.8386707305908203</v>
      </c>
      <c r="F812" s="1">
        <f>Tabla1[[#This Row],[tiempo]]/(IF(Tabla1[[#This Row],[tamanho]]=$I$3,$L$3,IF(Tabla1[[#This Row],[tamanho]]=$I$4,$L$4,IF(Tabla1[[#This Row],[tamanho]]=$I$5,$L$5,IF(Tabla1[[#This Row],[tamanho]]=$I$6,$L$6,0))))*IF(C812="8_1",9,25))</f>
        <v>1.0326844323806508E-6</v>
      </c>
    </row>
    <row r="813" spans="1:6" ht="12.75" x14ac:dyDescent="0.2">
      <c r="A813" s="1">
        <v>33</v>
      </c>
      <c r="B813" s="1">
        <v>4</v>
      </c>
      <c r="C813" s="1" t="s">
        <v>7</v>
      </c>
      <c r="D813" s="1" t="s">
        <v>6</v>
      </c>
      <c r="E813" s="1">
        <v>7.6151845455169598</v>
      </c>
      <c r="F813" s="1">
        <f>Tabla1[[#This Row],[tiempo]]/(IF(Tabla1[[#This Row],[tamanho]]=$I$3,$L$3,IF(Tabla1[[#This Row],[tamanho]]=$I$4,$L$4,IF(Tabla1[[#This Row],[tamanho]]=$I$5,$L$5,IF(Tabla1[[#This Row],[tamanho]]=$I$6,$L$6,0))))*IF(C813="8_1",9,25))</f>
        <v>4.1397953232139363E-7</v>
      </c>
    </row>
    <row r="814" spans="1:6" ht="12.75" x14ac:dyDescent="0.2">
      <c r="A814" s="1">
        <v>33</v>
      </c>
      <c r="B814" s="1">
        <v>4</v>
      </c>
      <c r="C814" s="1" t="s">
        <v>8</v>
      </c>
      <c r="D814" s="1" t="s">
        <v>6</v>
      </c>
      <c r="E814" s="1">
        <v>7.6148364543914697</v>
      </c>
      <c r="F814" s="1">
        <f>Tabla1[[#This Row],[tiempo]]/(IF(Tabla1[[#This Row],[tamanho]]=$I$3,$L$3,IF(Tabla1[[#This Row],[tamanho]]=$I$4,$L$4,IF(Tabla1[[#This Row],[tamanho]]=$I$5,$L$5,IF(Tabla1[[#This Row],[tamanho]]=$I$6,$L$6,0))))*IF(C814="8_1",9,25))</f>
        <v>4.1396060926043899E-7</v>
      </c>
    </row>
    <row r="815" spans="1:6" ht="12.75" x14ac:dyDescent="0.2">
      <c r="A815" s="1">
        <v>33</v>
      </c>
      <c r="B815" s="1">
        <v>4</v>
      </c>
      <c r="C815" s="1" t="s">
        <v>5</v>
      </c>
      <c r="D815" s="1" t="s">
        <v>9</v>
      </c>
      <c r="E815" s="1">
        <v>6.8120243549346897</v>
      </c>
      <c r="F815" s="1">
        <f>Tabla1[[#This Row],[tiempo]]/(IF(Tabla1[[#This Row],[tamanho]]=$I$3,$L$3,IF(Tabla1[[#This Row],[tamanho]]=$I$4,$L$4,IF(Tabla1[[#This Row],[tamanho]]=$I$5,$L$5,IF(Tabla1[[#This Row],[tamanho]]=$I$6,$L$6,0))))*IF(C815="8_1",9,25))</f>
        <v>1.0286606537249011E-6</v>
      </c>
    </row>
    <row r="816" spans="1:6" ht="12.75" x14ac:dyDescent="0.2">
      <c r="A816" s="1">
        <v>33</v>
      </c>
      <c r="B816" s="1">
        <v>4</v>
      </c>
      <c r="C816" s="1" t="s">
        <v>7</v>
      </c>
      <c r="D816" s="1" t="s">
        <v>9</v>
      </c>
      <c r="E816" s="1">
        <v>7.6181628704071001</v>
      </c>
      <c r="F816" s="1">
        <f>Tabla1[[#This Row],[tiempo]]/(IF(Tabla1[[#This Row],[tamanho]]=$I$3,$L$3,IF(Tabla1[[#This Row],[tamanho]]=$I$4,$L$4,IF(Tabla1[[#This Row],[tamanho]]=$I$5,$L$5,IF(Tabla1[[#This Row],[tamanho]]=$I$6,$L$6,0))))*IF(C816="8_1",9,25))</f>
        <v>4.1414144114156098E-7</v>
      </c>
    </row>
    <row r="817" spans="1:6" ht="12.75" x14ac:dyDescent="0.2">
      <c r="A817" s="1">
        <v>33</v>
      </c>
      <c r="B817" s="1">
        <v>4</v>
      </c>
      <c r="C817" s="1" t="s">
        <v>8</v>
      </c>
      <c r="D817" s="1" t="s">
        <v>9</v>
      </c>
      <c r="E817" s="1">
        <v>7.6838707923889098</v>
      </c>
      <c r="F817" s="1">
        <f>Tabla1[[#This Row],[tiempo]]/(IF(Tabla1[[#This Row],[tamanho]]=$I$3,$L$3,IF(Tabla1[[#This Row],[tamanho]]=$I$4,$L$4,IF(Tabla1[[#This Row],[tamanho]]=$I$5,$L$5,IF(Tabla1[[#This Row],[tamanho]]=$I$6,$L$6,0))))*IF(C817="8_1",9,25))</f>
        <v>4.1771347996074545E-7</v>
      </c>
    </row>
    <row r="818" spans="1:6" ht="12.75" x14ac:dyDescent="0.2">
      <c r="A818" s="1">
        <v>34</v>
      </c>
      <c r="B818" s="1">
        <v>1</v>
      </c>
      <c r="C818" s="1" t="s">
        <v>5</v>
      </c>
      <c r="D818" s="1" t="s">
        <v>6</v>
      </c>
      <c r="E818" s="1">
        <v>0.40506792068481401</v>
      </c>
      <c r="F818" s="1">
        <f>Tabla1[[#This Row],[tiempo]]/(IF(Tabla1[[#This Row],[tamanho]]=$I$3,$L$3,IF(Tabla1[[#This Row],[tamanho]]=$I$4,$L$4,IF(Tabla1[[#This Row],[tamanho]]=$I$5,$L$5,IF(Tabla1[[#This Row],[tamanho]]=$I$6,$L$6,0))))*IF(C818="8_1",9,25))</f>
        <v>1.6693574697806874E-6</v>
      </c>
    </row>
    <row r="819" spans="1:6" ht="12.75" x14ac:dyDescent="0.2">
      <c r="A819" s="1">
        <v>34</v>
      </c>
      <c r="B819" s="1">
        <v>1</v>
      </c>
      <c r="C819" s="1" t="s">
        <v>7</v>
      </c>
      <c r="D819" s="1" t="s">
        <v>6</v>
      </c>
      <c r="E819" s="1">
        <v>0.45602726936340299</v>
      </c>
      <c r="F819" s="1">
        <f>Tabla1[[#This Row],[tiempo]]/(IF(Tabla1[[#This Row],[tamanho]]=$I$3,$L$3,IF(Tabla1[[#This Row],[tamanho]]=$I$4,$L$4,IF(Tabla1[[#This Row],[tamanho]]=$I$5,$L$5,IF(Tabla1[[#This Row],[tamanho]]=$I$6,$L$6,0))))*IF(C819="8_1",9,25))</f>
        <v>6.765732270515233E-7</v>
      </c>
    </row>
    <row r="820" spans="1:6" ht="12.75" x14ac:dyDescent="0.2">
      <c r="A820" s="1">
        <v>34</v>
      </c>
      <c r="B820" s="1">
        <v>1</v>
      </c>
      <c r="C820" s="1" t="s">
        <v>8</v>
      </c>
      <c r="D820" s="1" t="s">
        <v>6</v>
      </c>
      <c r="E820" s="1">
        <v>0.45649981498718201</v>
      </c>
      <c r="F820" s="1">
        <f>Tabla1[[#This Row],[tiempo]]/(IF(Tabla1[[#This Row],[tamanho]]=$I$3,$L$3,IF(Tabla1[[#This Row],[tamanho]]=$I$4,$L$4,IF(Tabla1[[#This Row],[tamanho]]=$I$5,$L$5,IF(Tabla1[[#This Row],[tamanho]]=$I$6,$L$6,0))))*IF(C820="8_1",9,25))</f>
        <v>6.7727430731379694E-7</v>
      </c>
    </row>
    <row r="821" spans="1:6" ht="12.75" x14ac:dyDescent="0.2">
      <c r="A821" s="1">
        <v>34</v>
      </c>
      <c r="B821" s="1">
        <v>1</v>
      </c>
      <c r="C821" s="1" t="s">
        <v>5</v>
      </c>
      <c r="D821" s="1" t="s">
        <v>9</v>
      </c>
      <c r="E821" s="1">
        <v>0.40584969520568798</v>
      </c>
      <c r="F821" s="1">
        <f>Tabla1[[#This Row],[tiempo]]/(IF(Tabla1[[#This Row],[tamanho]]=$I$3,$L$3,IF(Tabla1[[#This Row],[tamanho]]=$I$4,$L$4,IF(Tabla1[[#This Row],[tamanho]]=$I$5,$L$5,IF(Tabla1[[#This Row],[tamanho]]=$I$6,$L$6,0))))*IF(C821="8_1",9,25))</f>
        <v>1.6725793026375051E-6</v>
      </c>
    </row>
    <row r="822" spans="1:6" ht="12.75" x14ac:dyDescent="0.2">
      <c r="A822" s="1">
        <v>34</v>
      </c>
      <c r="B822" s="1">
        <v>1</v>
      </c>
      <c r="C822" s="1" t="s">
        <v>7</v>
      </c>
      <c r="D822" s="1" t="s">
        <v>9</v>
      </c>
      <c r="E822" s="1">
        <v>0.45498085021972601</v>
      </c>
      <c r="F822" s="1">
        <f>Tabla1[[#This Row],[tiempo]]/(IF(Tabla1[[#This Row],[tamanho]]=$I$3,$L$3,IF(Tabla1[[#This Row],[tamanho]]=$I$4,$L$4,IF(Tabla1[[#This Row],[tamanho]]=$I$5,$L$5,IF(Tabla1[[#This Row],[tamanho]]=$I$6,$L$6,0))))*IF(C822="8_1",9,25))</f>
        <v>6.750207339783035E-7</v>
      </c>
    </row>
    <row r="823" spans="1:6" ht="12.75" x14ac:dyDescent="0.2">
      <c r="A823" s="1">
        <v>34</v>
      </c>
      <c r="B823" s="1">
        <v>1</v>
      </c>
      <c r="C823" s="1" t="s">
        <v>8</v>
      </c>
      <c r="D823" s="1" t="s">
        <v>9</v>
      </c>
      <c r="E823" s="1">
        <v>0.46236562728881803</v>
      </c>
      <c r="F823" s="1">
        <f>Tabla1[[#This Row],[tiempo]]/(IF(Tabla1[[#This Row],[tamanho]]=$I$3,$L$3,IF(Tabla1[[#This Row],[tamanho]]=$I$4,$L$4,IF(Tabla1[[#This Row],[tamanho]]=$I$5,$L$5,IF(Tabla1[[#This Row],[tamanho]]=$I$6,$L$6,0))))*IF(C823="8_1",9,25))</f>
        <v>6.8597697012546715E-7</v>
      </c>
    </row>
    <row r="824" spans="1:6" ht="12.75" x14ac:dyDescent="0.2">
      <c r="A824" s="1">
        <v>34</v>
      </c>
      <c r="B824" s="1">
        <v>2</v>
      </c>
      <c r="C824" s="1" t="s">
        <v>5</v>
      </c>
      <c r="D824" s="1" t="s">
        <v>6</v>
      </c>
      <c r="E824" s="1">
        <v>1.68200230598449</v>
      </c>
      <c r="F824" s="1">
        <f>Tabla1[[#This Row],[tiempo]]/(IF(Tabla1[[#This Row],[tamanho]]=$I$3,$L$3,IF(Tabla1[[#This Row],[tamanho]]=$I$4,$L$4,IF(Tabla1[[#This Row],[tamanho]]=$I$5,$L$5,IF(Tabla1[[#This Row],[tamanho]]=$I$6,$L$6,0))))*IF(C824="8_1",9,25))</f>
        <v>1.0183473649447356E-6</v>
      </c>
    </row>
    <row r="825" spans="1:6" ht="12.75" x14ac:dyDescent="0.2">
      <c r="A825" s="1">
        <v>34</v>
      </c>
      <c r="B825" s="1">
        <v>2</v>
      </c>
      <c r="C825" s="1" t="s">
        <v>7</v>
      </c>
      <c r="D825" s="1" t="s">
        <v>6</v>
      </c>
      <c r="E825" s="1">
        <v>1.87579298019409</v>
      </c>
      <c r="F825" s="1">
        <f>Tabla1[[#This Row],[tiempo]]/(IF(Tabla1[[#This Row],[tamanho]]=$I$3,$L$3,IF(Tabla1[[#This Row],[tamanho]]=$I$4,$L$4,IF(Tabla1[[#This Row],[tamanho]]=$I$5,$L$5,IF(Tabla1[[#This Row],[tamanho]]=$I$6,$L$6,0))))*IF(C825="8_1",9,25))</f>
        <v>4.0884318614533192E-7</v>
      </c>
    </row>
    <row r="826" spans="1:6" ht="12.75" x14ac:dyDescent="0.2">
      <c r="A826" s="1">
        <v>34</v>
      </c>
      <c r="B826" s="1">
        <v>2</v>
      </c>
      <c r="C826" s="1" t="s">
        <v>8</v>
      </c>
      <c r="D826" s="1" t="s">
        <v>6</v>
      </c>
      <c r="E826" s="1">
        <v>1.9384400844573899</v>
      </c>
      <c r="F826" s="1">
        <f>Tabla1[[#This Row],[tiempo]]/(IF(Tabla1[[#This Row],[tamanho]]=$I$3,$L$3,IF(Tabla1[[#This Row],[tamanho]]=$I$4,$L$4,IF(Tabla1[[#This Row],[tamanho]]=$I$5,$L$5,IF(Tabla1[[#This Row],[tamanho]]=$I$6,$L$6,0))))*IF(C826="8_1",9,25))</f>
        <v>4.2249759363071236E-7</v>
      </c>
    </row>
    <row r="827" spans="1:6" ht="12.75" x14ac:dyDescent="0.2">
      <c r="A827" s="1">
        <v>34</v>
      </c>
      <c r="B827" s="1">
        <v>2</v>
      </c>
      <c r="C827" s="1" t="s">
        <v>5</v>
      </c>
      <c r="D827" s="1" t="s">
        <v>9</v>
      </c>
      <c r="E827" s="1">
        <v>1.6995103359222401</v>
      </c>
      <c r="F827" s="1">
        <f>Tabla1[[#This Row],[tiempo]]/(IF(Tabla1[[#This Row],[tamanho]]=$I$3,$L$3,IF(Tabla1[[#This Row],[tamanho]]=$I$4,$L$4,IF(Tabla1[[#This Row],[tamanho]]=$I$5,$L$5,IF(Tabla1[[#This Row],[tamanho]]=$I$6,$L$6,0))))*IF(C827="8_1",9,25))</f>
        <v>1.0289473837966989E-6</v>
      </c>
    </row>
    <row r="828" spans="1:6" ht="12.75" x14ac:dyDescent="0.2">
      <c r="A828" s="1">
        <v>34</v>
      </c>
      <c r="B828" s="1">
        <v>2</v>
      </c>
      <c r="C828" s="1" t="s">
        <v>7</v>
      </c>
      <c r="D828" s="1" t="s">
        <v>9</v>
      </c>
      <c r="E828" s="1">
        <v>1.87434959411621</v>
      </c>
      <c r="F828" s="1">
        <f>Tabla1[[#This Row],[tiempo]]/(IF(Tabla1[[#This Row],[tamanho]]=$I$3,$L$3,IF(Tabla1[[#This Row],[tamanho]]=$I$4,$L$4,IF(Tabla1[[#This Row],[tamanho]]=$I$5,$L$5,IF(Tabla1[[#This Row],[tamanho]]=$I$6,$L$6,0))))*IF(C828="8_1",9,25))</f>
        <v>4.0852858929528012E-7</v>
      </c>
    </row>
    <row r="829" spans="1:6" ht="12.75" x14ac:dyDescent="0.2">
      <c r="A829" s="1">
        <v>34</v>
      </c>
      <c r="B829" s="1">
        <v>2</v>
      </c>
      <c r="C829" s="1" t="s">
        <v>8</v>
      </c>
      <c r="D829" s="1" t="s">
        <v>9</v>
      </c>
      <c r="E829" s="1">
        <v>1.9063115119934</v>
      </c>
      <c r="F829" s="1">
        <f>Tabla1[[#This Row],[tiempo]]/(IF(Tabla1[[#This Row],[tamanho]]=$I$3,$L$3,IF(Tabla1[[#This Row],[tamanho]]=$I$4,$L$4,IF(Tabla1[[#This Row],[tamanho]]=$I$5,$L$5,IF(Tabla1[[#This Row],[tamanho]]=$I$6,$L$6,0))))*IF(C829="8_1",9,25))</f>
        <v>4.1549492965277188E-7</v>
      </c>
    </row>
    <row r="830" spans="1:6" ht="12.75" x14ac:dyDescent="0.2">
      <c r="A830" s="1">
        <v>34</v>
      </c>
      <c r="B830" s="1">
        <v>3</v>
      </c>
      <c r="C830" s="1" t="s">
        <v>5</v>
      </c>
      <c r="D830" s="1" t="s">
        <v>6</v>
      </c>
      <c r="E830" s="1">
        <v>3.80796122550964</v>
      </c>
      <c r="F830" s="1">
        <f>Tabla1[[#This Row],[tiempo]]/(IF(Tabla1[[#This Row],[tamanho]]=$I$3,$L$3,IF(Tabla1[[#This Row],[tamanho]]=$I$4,$L$4,IF(Tabla1[[#This Row],[tamanho]]=$I$5,$L$5,IF(Tabla1[[#This Row],[tamanho]]=$I$6,$L$6,0))))*IF(C830="8_1",9,25))</f>
        <v>1.0238444798571443E-6</v>
      </c>
    </row>
    <row r="831" spans="1:6" ht="12.75" x14ac:dyDescent="0.2">
      <c r="A831" s="1">
        <v>34</v>
      </c>
      <c r="B831" s="1">
        <v>3</v>
      </c>
      <c r="C831" s="1" t="s">
        <v>7</v>
      </c>
      <c r="D831" s="1" t="s">
        <v>6</v>
      </c>
      <c r="E831" s="1">
        <v>4.2673475742339999</v>
      </c>
      <c r="F831" s="1">
        <f>Tabla1[[#This Row],[tiempo]]/(IF(Tabla1[[#This Row],[tamanho]]=$I$3,$L$3,IF(Tabla1[[#This Row],[tamanho]]=$I$4,$L$4,IF(Tabla1[[#This Row],[tamanho]]=$I$5,$L$5,IF(Tabla1[[#This Row],[tamanho]]=$I$6,$L$6,0))))*IF(C831="8_1",9,25))</f>
        <v>4.1304939823633463E-7</v>
      </c>
    </row>
    <row r="832" spans="1:6" ht="12.75" x14ac:dyDescent="0.2">
      <c r="A832" s="1">
        <v>34</v>
      </c>
      <c r="B832" s="1">
        <v>3</v>
      </c>
      <c r="C832" s="1" t="s">
        <v>8</v>
      </c>
      <c r="D832" s="1" t="s">
        <v>6</v>
      </c>
      <c r="E832" s="1">
        <v>4.3496527671813903</v>
      </c>
      <c r="F832" s="1">
        <f>Tabla1[[#This Row],[tiempo]]/(IF(Tabla1[[#This Row],[tamanho]]=$I$3,$L$3,IF(Tabla1[[#This Row],[tamanho]]=$I$4,$L$4,IF(Tabla1[[#This Row],[tamanho]]=$I$5,$L$5,IF(Tabla1[[#This Row],[tamanho]]=$I$6,$L$6,0))))*IF(C832="8_1",9,25))</f>
        <v>4.2101596524950967E-7</v>
      </c>
    </row>
    <row r="833" spans="1:6" ht="12.75" x14ac:dyDescent="0.2">
      <c r="A833" s="1">
        <v>34</v>
      </c>
      <c r="B833" s="1">
        <v>3</v>
      </c>
      <c r="C833" s="1" t="s">
        <v>5</v>
      </c>
      <c r="D833" s="1" t="s">
        <v>9</v>
      </c>
      <c r="E833" s="1">
        <v>3.8344202041625901</v>
      </c>
      <c r="F833" s="1">
        <f>Tabla1[[#This Row],[tiempo]]/(IF(Tabla1[[#This Row],[tamanho]]=$I$3,$L$3,IF(Tabla1[[#This Row],[tamanho]]=$I$4,$L$4,IF(Tabla1[[#This Row],[tamanho]]=$I$5,$L$5,IF(Tabla1[[#This Row],[tamanho]]=$I$6,$L$6,0))))*IF(C833="8_1",9,25))</f>
        <v>1.0309584911698134E-6</v>
      </c>
    </row>
    <row r="834" spans="1:6" ht="12.75" x14ac:dyDescent="0.2">
      <c r="A834" s="1">
        <v>34</v>
      </c>
      <c r="B834" s="1">
        <v>3</v>
      </c>
      <c r="C834" s="1" t="s">
        <v>7</v>
      </c>
      <c r="D834" s="1" t="s">
        <v>9</v>
      </c>
      <c r="E834" s="1">
        <v>4.2562718391418404</v>
      </c>
      <c r="F834" s="1">
        <f>Tabla1[[#This Row],[tiempo]]/(IF(Tabla1[[#This Row],[tamanho]]=$I$3,$L$3,IF(Tabla1[[#This Row],[tamanho]]=$I$4,$L$4,IF(Tabla1[[#This Row],[tamanho]]=$I$5,$L$5,IF(Tabla1[[#This Row],[tamanho]]=$I$6,$L$6,0))))*IF(C834="8_1",9,25))</f>
        <v>4.1197734454601323E-7</v>
      </c>
    </row>
    <row r="835" spans="1:6" ht="12.75" x14ac:dyDescent="0.2">
      <c r="A835" s="1">
        <v>34</v>
      </c>
      <c r="B835" s="1">
        <v>3</v>
      </c>
      <c r="C835" s="1" t="s">
        <v>8</v>
      </c>
      <c r="D835" s="1" t="s">
        <v>9</v>
      </c>
      <c r="E835" s="1">
        <v>4.2984194755554199</v>
      </c>
      <c r="F835" s="1">
        <f>Tabla1[[#This Row],[tiempo]]/(IF(Tabla1[[#This Row],[tamanho]]=$I$3,$L$3,IF(Tabla1[[#This Row],[tamanho]]=$I$4,$L$4,IF(Tabla1[[#This Row],[tamanho]]=$I$5,$L$5,IF(Tabla1[[#This Row],[tamanho]]=$I$6,$L$6,0))))*IF(C835="8_1",9,25))</f>
        <v>4.1605694095921092E-7</v>
      </c>
    </row>
    <row r="836" spans="1:6" ht="12.75" x14ac:dyDescent="0.2">
      <c r="A836" s="1">
        <v>34</v>
      </c>
      <c r="B836" s="1">
        <v>4</v>
      </c>
      <c r="C836" s="1" t="s">
        <v>5</v>
      </c>
      <c r="D836" s="1" t="s">
        <v>6</v>
      </c>
      <c r="E836" s="1">
        <v>6.8184685707092196</v>
      </c>
      <c r="F836" s="1">
        <f>Tabla1[[#This Row],[tiempo]]/(IF(Tabla1[[#This Row],[tamanho]]=$I$3,$L$3,IF(Tabla1[[#This Row],[tamanho]]=$I$4,$L$4,IF(Tabla1[[#This Row],[tamanho]]=$I$5,$L$5,IF(Tabla1[[#This Row],[tamanho]]=$I$6,$L$6,0))))*IF(C836="8_1",9,25))</f>
        <v>1.0296337728545427E-6</v>
      </c>
    </row>
    <row r="837" spans="1:6" ht="12.75" x14ac:dyDescent="0.2">
      <c r="A837" s="1">
        <v>34</v>
      </c>
      <c r="B837" s="1">
        <v>4</v>
      </c>
      <c r="C837" s="1" t="s">
        <v>7</v>
      </c>
      <c r="D837" s="1" t="s">
        <v>6</v>
      </c>
      <c r="E837" s="1">
        <v>7.6806766986846897</v>
      </c>
      <c r="F837" s="1">
        <f>Tabla1[[#This Row],[tiempo]]/(IF(Tabla1[[#This Row],[tamanho]]=$I$3,$L$3,IF(Tabla1[[#This Row],[tamanho]]=$I$4,$L$4,IF(Tabla1[[#This Row],[tamanho]]=$I$5,$L$5,IF(Tabla1[[#This Row],[tamanho]]=$I$6,$L$6,0))))*IF(C837="8_1",9,25))</f>
        <v>4.1753984143498681E-7</v>
      </c>
    </row>
    <row r="838" spans="1:6" ht="12.75" x14ac:dyDescent="0.2">
      <c r="A838" s="1">
        <v>34</v>
      </c>
      <c r="B838" s="1">
        <v>4</v>
      </c>
      <c r="C838" s="1" t="s">
        <v>8</v>
      </c>
      <c r="D838" s="1" t="s">
        <v>6</v>
      </c>
      <c r="E838" s="1">
        <v>7.6515927314758301</v>
      </c>
      <c r="F838" s="1">
        <f>Tabla1[[#This Row],[tiempo]]/(IF(Tabla1[[#This Row],[tamanho]]=$I$3,$L$3,IF(Tabla1[[#This Row],[tamanho]]=$I$4,$L$4,IF(Tabla1[[#This Row],[tamanho]]=$I$5,$L$5,IF(Tabla1[[#This Row],[tamanho]]=$I$6,$L$6,0))))*IF(C838="8_1",9,25))</f>
        <v>4.1595876784823277E-7</v>
      </c>
    </row>
    <row r="839" spans="1:6" ht="12.75" x14ac:dyDescent="0.2">
      <c r="A839" s="1">
        <v>34</v>
      </c>
      <c r="B839" s="1">
        <v>4</v>
      </c>
      <c r="C839" s="1" t="s">
        <v>5</v>
      </c>
      <c r="D839" s="1" t="s">
        <v>9</v>
      </c>
      <c r="E839" s="1">
        <v>6.8226170539855904</v>
      </c>
      <c r="F839" s="1">
        <f>Tabla1[[#This Row],[tiempo]]/(IF(Tabla1[[#This Row],[tamanho]]=$I$3,$L$3,IF(Tabla1[[#This Row],[tamanho]]=$I$4,$L$4,IF(Tabla1[[#This Row],[tamanho]]=$I$5,$L$5,IF(Tabla1[[#This Row],[tamanho]]=$I$6,$L$6,0))))*IF(C839="8_1",9,25))</f>
        <v>1.0302602212194765E-6</v>
      </c>
    </row>
    <row r="840" spans="1:6" ht="12.75" x14ac:dyDescent="0.2">
      <c r="A840" s="1">
        <v>34</v>
      </c>
      <c r="B840" s="1">
        <v>4</v>
      </c>
      <c r="C840" s="1" t="s">
        <v>7</v>
      </c>
      <c r="D840" s="1" t="s">
        <v>9</v>
      </c>
      <c r="E840" s="1">
        <v>7.6776368618011404</v>
      </c>
      <c r="F840" s="1">
        <f>Tabla1[[#This Row],[tiempo]]/(IF(Tabla1[[#This Row],[tamanho]]=$I$3,$L$3,IF(Tabla1[[#This Row],[tamanho]]=$I$4,$L$4,IF(Tabla1[[#This Row],[tamanho]]=$I$5,$L$5,IF(Tabla1[[#This Row],[tamanho]]=$I$6,$L$6,0))))*IF(C840="8_1",9,25))</f>
        <v>4.1737458867665069E-7</v>
      </c>
    </row>
    <row r="841" spans="1:6" ht="12.75" x14ac:dyDescent="0.2">
      <c r="A841" s="1">
        <v>34</v>
      </c>
      <c r="B841" s="1">
        <v>4</v>
      </c>
      <c r="C841" s="1" t="s">
        <v>8</v>
      </c>
      <c r="D841" s="1" t="s">
        <v>9</v>
      </c>
      <c r="E841" s="1">
        <v>7.7730579376220703</v>
      </c>
      <c r="F841" s="1">
        <f>Tabla1[[#This Row],[tiempo]]/(IF(Tabla1[[#This Row],[tamanho]]=$I$3,$L$3,IF(Tabla1[[#This Row],[tamanho]]=$I$4,$L$4,IF(Tabla1[[#This Row],[tamanho]]=$I$5,$L$5,IF(Tabla1[[#This Row],[tamanho]]=$I$6,$L$6,0))))*IF(C841="8_1",9,25))</f>
        <v>4.2256190516331517E-7</v>
      </c>
    </row>
    <row r="842" spans="1:6" ht="12.75" x14ac:dyDescent="0.2">
      <c r="A842" s="1">
        <v>35</v>
      </c>
      <c r="B842" s="1">
        <v>1</v>
      </c>
      <c r="C842" s="1" t="s">
        <v>5</v>
      </c>
      <c r="D842" s="1" t="s">
        <v>6</v>
      </c>
      <c r="E842" s="1">
        <v>0.40552806854248002</v>
      </c>
      <c r="F842" s="1">
        <f>Tabla1[[#This Row],[tiempo]]/(IF(Tabla1[[#This Row],[tamanho]]=$I$3,$L$3,IF(Tabla1[[#This Row],[tamanho]]=$I$4,$L$4,IF(Tabla1[[#This Row],[tamanho]]=$I$5,$L$5,IF(Tabla1[[#This Row],[tamanho]]=$I$6,$L$6,0))))*IF(C842="8_1",9,25))</f>
        <v>1.6712538215384363E-6</v>
      </c>
    </row>
    <row r="843" spans="1:6" ht="12.75" x14ac:dyDescent="0.2">
      <c r="A843" s="1">
        <v>35</v>
      </c>
      <c r="B843" s="1">
        <v>1</v>
      </c>
      <c r="C843" s="1" t="s">
        <v>7</v>
      </c>
      <c r="D843" s="1" t="s">
        <v>6</v>
      </c>
      <c r="E843" s="1">
        <v>0.45463657379150302</v>
      </c>
      <c r="F843" s="1">
        <f>Tabla1[[#This Row],[tiempo]]/(IF(Tabla1[[#This Row],[tamanho]]=$I$3,$L$3,IF(Tabla1[[#This Row],[tamanho]]=$I$4,$L$4,IF(Tabla1[[#This Row],[tamanho]]=$I$5,$L$5,IF(Tabla1[[#This Row],[tamanho]]=$I$6,$L$6,0))))*IF(C843="8_1",9,25))</f>
        <v>6.7450995703646453E-7</v>
      </c>
    </row>
    <row r="844" spans="1:6" ht="12.75" x14ac:dyDescent="0.2">
      <c r="A844" s="1">
        <v>35</v>
      </c>
      <c r="B844" s="1">
        <v>1</v>
      </c>
      <c r="C844" s="1" t="s">
        <v>8</v>
      </c>
      <c r="D844" s="1" t="s">
        <v>6</v>
      </c>
      <c r="E844" s="1">
        <v>0.459324121475219</v>
      </c>
      <c r="F844" s="1">
        <f>Tabla1[[#This Row],[tiempo]]/(IF(Tabla1[[#This Row],[tamanho]]=$I$3,$L$3,IF(Tabla1[[#This Row],[tamanho]]=$I$4,$L$4,IF(Tabla1[[#This Row],[tamanho]]=$I$5,$L$5,IF(Tabla1[[#This Row],[tamanho]]=$I$6,$L$6,0))))*IF(C844="8_1",9,25))</f>
        <v>6.8146451759982044E-7</v>
      </c>
    </row>
    <row r="845" spans="1:6" ht="12.75" x14ac:dyDescent="0.2">
      <c r="A845" s="1">
        <v>35</v>
      </c>
      <c r="B845" s="1">
        <v>1</v>
      </c>
      <c r="C845" s="1" t="s">
        <v>5</v>
      </c>
      <c r="D845" s="1" t="s">
        <v>9</v>
      </c>
      <c r="E845" s="1">
        <v>0.40525150299072199</v>
      </c>
      <c r="F845" s="1">
        <f>Tabla1[[#This Row],[tiempo]]/(IF(Tabla1[[#This Row],[tamanho]]=$I$3,$L$3,IF(Tabla1[[#This Row],[tamanho]]=$I$4,$L$4,IF(Tabla1[[#This Row],[tamanho]]=$I$5,$L$5,IF(Tabla1[[#This Row],[tamanho]]=$I$6,$L$6,0))))*IF(C845="8_1",9,25))</f>
        <v>1.6701140453524308E-6</v>
      </c>
    </row>
    <row r="846" spans="1:6" ht="12.75" x14ac:dyDescent="0.2">
      <c r="A846" s="1">
        <v>35</v>
      </c>
      <c r="B846" s="1">
        <v>1</v>
      </c>
      <c r="C846" s="1" t="s">
        <v>7</v>
      </c>
      <c r="D846" s="1" t="s">
        <v>9</v>
      </c>
      <c r="E846" s="1">
        <v>0.45566105842590299</v>
      </c>
      <c r="F846" s="1">
        <f>Tabla1[[#This Row],[tiempo]]/(IF(Tabla1[[#This Row],[tamanho]]=$I$3,$L$3,IF(Tabla1[[#This Row],[tamanho]]=$I$4,$L$4,IF(Tabla1[[#This Row],[tamanho]]=$I$5,$L$5,IF(Tabla1[[#This Row],[tamanho]]=$I$6,$L$6,0))))*IF(C846="8_1",9,25))</f>
        <v>6.7602990753444309E-7</v>
      </c>
    </row>
    <row r="847" spans="1:6" ht="12.75" x14ac:dyDescent="0.2">
      <c r="A847" s="1">
        <v>35</v>
      </c>
      <c r="B847" s="1">
        <v>1</v>
      </c>
      <c r="C847" s="1" t="s">
        <v>8</v>
      </c>
      <c r="D847" s="1" t="s">
        <v>9</v>
      </c>
      <c r="E847" s="1">
        <v>0.46008872985839799</v>
      </c>
      <c r="F847" s="1">
        <f>Tabla1[[#This Row],[tiempo]]/(IF(Tabla1[[#This Row],[tamanho]]=$I$3,$L$3,IF(Tabla1[[#This Row],[tamanho]]=$I$4,$L$4,IF(Tabla1[[#This Row],[tamanho]]=$I$5,$L$5,IF(Tabla1[[#This Row],[tamanho]]=$I$6,$L$6,0))))*IF(C847="8_1",9,25))</f>
        <v>6.8259890932591223E-7</v>
      </c>
    </row>
    <row r="848" spans="1:6" ht="12.75" x14ac:dyDescent="0.2">
      <c r="A848" s="1">
        <v>35</v>
      </c>
      <c r="B848" s="1">
        <v>2</v>
      </c>
      <c r="C848" s="1" t="s">
        <v>5</v>
      </c>
      <c r="D848" s="1" t="s">
        <v>6</v>
      </c>
      <c r="E848" s="1">
        <v>1.6799566745757999</v>
      </c>
      <c r="F848" s="1">
        <f>Tabla1[[#This Row],[tiempo]]/(IF(Tabla1[[#This Row],[tamanho]]=$I$3,$L$3,IF(Tabla1[[#This Row],[tamanho]]=$I$4,$L$4,IF(Tabla1[[#This Row],[tamanho]]=$I$5,$L$5,IF(Tabla1[[#This Row],[tamanho]]=$I$6,$L$6,0))))*IF(C848="8_1",9,25))</f>
        <v>1.0171088628646399E-6</v>
      </c>
    </row>
    <row r="849" spans="1:6" ht="12.75" x14ac:dyDescent="0.2">
      <c r="A849" s="1">
        <v>35</v>
      </c>
      <c r="B849" s="1">
        <v>2</v>
      </c>
      <c r="C849" s="1" t="s">
        <v>7</v>
      </c>
      <c r="D849" s="1" t="s">
        <v>6</v>
      </c>
      <c r="E849" s="1">
        <v>1.8712177276611299</v>
      </c>
      <c r="F849" s="1">
        <f>Tabla1[[#This Row],[tiempo]]/(IF(Tabla1[[#This Row],[tamanho]]=$I$3,$L$3,IF(Tabla1[[#This Row],[tamanho]]=$I$4,$L$4,IF(Tabla1[[#This Row],[tamanho]]=$I$5,$L$5,IF(Tabla1[[#This Row],[tamanho]]=$I$6,$L$6,0))))*IF(C849="8_1",9,25))</f>
        <v>4.0784597544951123E-7</v>
      </c>
    </row>
    <row r="850" spans="1:6" ht="12.75" x14ac:dyDescent="0.2">
      <c r="A850" s="1">
        <v>35</v>
      </c>
      <c r="B850" s="1">
        <v>2</v>
      </c>
      <c r="C850" s="1" t="s">
        <v>8</v>
      </c>
      <c r="D850" s="1" t="s">
        <v>6</v>
      </c>
      <c r="E850" s="1">
        <v>1.8952262401580799</v>
      </c>
      <c r="F850" s="1">
        <f>Tabla1[[#This Row],[tiempo]]/(IF(Tabla1[[#This Row],[tamanho]]=$I$3,$L$3,IF(Tabla1[[#This Row],[tamanho]]=$I$4,$L$4,IF(Tabla1[[#This Row],[tamanho]]=$I$5,$L$5,IF(Tabla1[[#This Row],[tamanho]]=$I$6,$L$6,0))))*IF(C850="8_1",9,25))</f>
        <v>4.130788112941402E-7</v>
      </c>
    </row>
    <row r="851" spans="1:6" ht="12.75" x14ac:dyDescent="0.2">
      <c r="A851" s="1">
        <v>35</v>
      </c>
      <c r="B851" s="1">
        <v>2</v>
      </c>
      <c r="C851" s="1" t="s">
        <v>5</v>
      </c>
      <c r="D851" s="1" t="s">
        <v>9</v>
      </c>
      <c r="E851" s="1">
        <v>1.6822292804718</v>
      </c>
      <c r="F851" s="1">
        <f>Tabla1[[#This Row],[tiempo]]/(IF(Tabla1[[#This Row],[tamanho]]=$I$3,$L$3,IF(Tabla1[[#This Row],[tamanho]]=$I$4,$L$4,IF(Tabla1[[#This Row],[tamanho]]=$I$5,$L$5,IF(Tabla1[[#This Row],[tamanho]]=$I$6,$L$6,0))))*IF(C851="8_1",9,25))</f>
        <v>1.0184847838235562E-6</v>
      </c>
    </row>
    <row r="852" spans="1:6" ht="12.75" x14ac:dyDescent="0.2">
      <c r="A852" s="1">
        <v>35</v>
      </c>
      <c r="B852" s="1">
        <v>2</v>
      </c>
      <c r="C852" s="1" t="s">
        <v>7</v>
      </c>
      <c r="D852" s="1" t="s">
        <v>9</v>
      </c>
      <c r="E852" s="1">
        <v>1.8781204223632799</v>
      </c>
      <c r="F852" s="1">
        <f>Tabla1[[#This Row],[tiempo]]/(IF(Tabla1[[#This Row],[tamanho]]=$I$3,$L$3,IF(Tabla1[[#This Row],[tamanho]]=$I$4,$L$4,IF(Tabla1[[#This Row],[tamanho]]=$I$5,$L$5,IF(Tabla1[[#This Row],[tamanho]]=$I$6,$L$6,0))))*IF(C852="8_1",9,25))</f>
        <v>4.093504696686566E-7</v>
      </c>
    </row>
    <row r="853" spans="1:6" ht="12.75" x14ac:dyDescent="0.2">
      <c r="A853" s="1">
        <v>35</v>
      </c>
      <c r="B853" s="1">
        <v>2</v>
      </c>
      <c r="C853" s="1" t="s">
        <v>8</v>
      </c>
      <c r="D853" s="1" t="s">
        <v>9</v>
      </c>
      <c r="E853" s="1">
        <v>1.8987166881561199</v>
      </c>
      <c r="F853" s="1">
        <f>Tabla1[[#This Row],[tiempo]]/(IF(Tabla1[[#This Row],[tamanho]]=$I$3,$L$3,IF(Tabla1[[#This Row],[tamanho]]=$I$4,$L$4,IF(Tabla1[[#This Row],[tamanho]]=$I$5,$L$5,IF(Tabla1[[#This Row],[tamanho]]=$I$6,$L$6,0))))*IF(C853="8_1",9,25))</f>
        <v>4.1383958068375889E-7</v>
      </c>
    </row>
    <row r="854" spans="1:6" ht="12.75" x14ac:dyDescent="0.2">
      <c r="A854" s="1">
        <v>35</v>
      </c>
      <c r="B854" s="1">
        <v>3</v>
      </c>
      <c r="C854" s="1" t="s">
        <v>5</v>
      </c>
      <c r="D854" s="1" t="s">
        <v>6</v>
      </c>
      <c r="E854" s="1">
        <v>3.8089001178741402</v>
      </c>
      <c r="F854" s="1">
        <f>Tabla1[[#This Row],[tiempo]]/(IF(Tabla1[[#This Row],[tamanho]]=$I$3,$L$3,IF(Tabla1[[#This Row],[tamanho]]=$I$4,$L$4,IF(Tabla1[[#This Row],[tamanho]]=$I$5,$L$5,IF(Tabla1[[#This Row],[tamanho]]=$I$6,$L$6,0))))*IF(C854="8_1",9,25))</f>
        <v>1.0240969193405439E-6</v>
      </c>
    </row>
    <row r="855" spans="1:6" ht="12.75" x14ac:dyDescent="0.2">
      <c r="A855" s="1">
        <v>35</v>
      </c>
      <c r="B855" s="1">
        <v>3</v>
      </c>
      <c r="C855" s="1" t="s">
        <v>7</v>
      </c>
      <c r="D855" s="1" t="s">
        <v>6</v>
      </c>
      <c r="E855" s="1">
        <v>4.3582861423492396</v>
      </c>
      <c r="F855" s="1">
        <f>Tabla1[[#This Row],[tiempo]]/(IF(Tabla1[[#This Row],[tamanho]]=$I$3,$L$3,IF(Tabla1[[#This Row],[tamanho]]=$I$4,$L$4,IF(Tabla1[[#This Row],[tamanho]]=$I$5,$L$5,IF(Tabla1[[#This Row],[tamanho]]=$I$6,$L$6,0))))*IF(C855="8_1",9,25))</f>
        <v>4.2185161558166448E-7</v>
      </c>
    </row>
    <row r="856" spans="1:6" ht="12.75" x14ac:dyDescent="0.2">
      <c r="A856" s="1">
        <v>35</v>
      </c>
      <c r="B856" s="1">
        <v>3</v>
      </c>
      <c r="C856" s="1" t="s">
        <v>8</v>
      </c>
      <c r="D856" s="1" t="s">
        <v>6</v>
      </c>
      <c r="E856" s="1">
        <v>4.4560549259185702</v>
      </c>
      <c r="F856" s="1">
        <f>Tabla1[[#This Row],[tiempo]]/(IF(Tabla1[[#This Row],[tamanho]]=$I$3,$L$3,IF(Tabla1[[#This Row],[tamanho]]=$I$4,$L$4,IF(Tabla1[[#This Row],[tamanho]]=$I$5,$L$5,IF(Tabla1[[#This Row],[tamanho]]=$I$6,$L$6,0))))*IF(C856="8_1",9,25))</f>
        <v>4.3131495001062981E-7</v>
      </c>
    </row>
    <row r="857" spans="1:6" ht="12.75" x14ac:dyDescent="0.2">
      <c r="A857" s="1">
        <v>35</v>
      </c>
      <c r="B857" s="1">
        <v>3</v>
      </c>
      <c r="C857" s="1" t="s">
        <v>5</v>
      </c>
      <c r="D857" s="1" t="s">
        <v>9</v>
      </c>
      <c r="E857" s="1">
        <v>3.7783300876617401</v>
      </c>
      <c r="F857" s="1">
        <f>Tabla1[[#This Row],[tiempo]]/(IF(Tabla1[[#This Row],[tamanho]]=$I$3,$L$3,IF(Tabla1[[#This Row],[tamanho]]=$I$4,$L$4,IF(Tabla1[[#This Row],[tamanho]]=$I$5,$L$5,IF(Tabla1[[#This Row],[tamanho]]=$I$6,$L$6,0))))*IF(C857="8_1",9,25))</f>
        <v>1.0158775718134842E-6</v>
      </c>
    </row>
    <row r="858" spans="1:6" ht="12.75" x14ac:dyDescent="0.2">
      <c r="A858" s="1">
        <v>35</v>
      </c>
      <c r="B858" s="1">
        <v>3</v>
      </c>
      <c r="C858" s="1" t="s">
        <v>7</v>
      </c>
      <c r="D858" s="1" t="s">
        <v>9</v>
      </c>
      <c r="E858" s="1">
        <v>4.2497804164886404</v>
      </c>
      <c r="F858" s="1">
        <f>Tabla1[[#This Row],[tiempo]]/(IF(Tabla1[[#This Row],[tamanho]]=$I$3,$L$3,IF(Tabla1[[#This Row],[tamanho]]=$I$4,$L$4,IF(Tabla1[[#This Row],[tamanho]]=$I$5,$L$5,IF(Tabla1[[#This Row],[tamanho]]=$I$6,$L$6,0))))*IF(C858="8_1",9,25))</f>
        <v>4.1134902023589813E-7</v>
      </c>
    </row>
    <row r="859" spans="1:6" ht="12.75" x14ac:dyDescent="0.2">
      <c r="A859" s="1">
        <v>35</v>
      </c>
      <c r="B859" s="1">
        <v>3</v>
      </c>
      <c r="C859" s="1" t="s">
        <v>8</v>
      </c>
      <c r="D859" s="1" t="s">
        <v>9</v>
      </c>
      <c r="E859" s="1">
        <v>4.2646203041076598</v>
      </c>
      <c r="F859" s="1">
        <f>Tabla1[[#This Row],[tiempo]]/(IF(Tabla1[[#This Row],[tamanho]]=$I$3,$L$3,IF(Tabla1[[#This Row],[tamanho]]=$I$4,$L$4,IF(Tabla1[[#This Row],[tamanho]]=$I$5,$L$5,IF(Tabla1[[#This Row],[tamanho]]=$I$6,$L$6,0))))*IF(C859="8_1",9,25))</f>
        <v>4.1278541756334836E-7</v>
      </c>
    </row>
    <row r="860" spans="1:6" ht="12.75" x14ac:dyDescent="0.2">
      <c r="A860" s="1">
        <v>35</v>
      </c>
      <c r="B860" s="1">
        <v>4</v>
      </c>
      <c r="C860" s="1" t="s">
        <v>5</v>
      </c>
      <c r="D860" s="1" t="s">
        <v>6</v>
      </c>
      <c r="E860" s="1">
        <v>6.8708405494689897</v>
      </c>
      <c r="F860" s="1">
        <f>Tabla1[[#This Row],[tiempo]]/(IF(Tabla1[[#This Row],[tamanho]]=$I$3,$L$3,IF(Tabla1[[#This Row],[tamanho]]=$I$4,$L$4,IF(Tabla1[[#This Row],[tamanho]]=$I$5,$L$5,IF(Tabla1[[#This Row],[tamanho]]=$I$6,$L$6,0))))*IF(C860="8_1",9,25))</f>
        <v>1.0375422874312507E-6</v>
      </c>
    </row>
    <row r="861" spans="1:6" ht="12.75" x14ac:dyDescent="0.2">
      <c r="A861" s="1">
        <v>35</v>
      </c>
      <c r="B861" s="1">
        <v>4</v>
      </c>
      <c r="C861" s="1" t="s">
        <v>7</v>
      </c>
      <c r="D861" s="1" t="s">
        <v>6</v>
      </c>
      <c r="E861" s="1">
        <v>7.5827341079711896</v>
      </c>
      <c r="F861" s="1">
        <f>Tabla1[[#This Row],[tiempo]]/(IF(Tabla1[[#This Row],[tamanho]]=$I$3,$L$3,IF(Tabla1[[#This Row],[tamanho]]=$I$4,$L$4,IF(Tabla1[[#This Row],[tamanho]]=$I$5,$L$5,IF(Tabla1[[#This Row],[tamanho]]=$I$6,$L$6,0))))*IF(C861="8_1",9,25))</f>
        <v>4.1221544940540821E-7</v>
      </c>
    </row>
    <row r="862" spans="1:6" ht="12.75" x14ac:dyDescent="0.2">
      <c r="A862" s="1">
        <v>35</v>
      </c>
      <c r="B862" s="1">
        <v>4</v>
      </c>
      <c r="C862" s="1" t="s">
        <v>8</v>
      </c>
      <c r="D862" s="1" t="s">
        <v>6</v>
      </c>
      <c r="E862" s="1">
        <v>7.6100363731384197</v>
      </c>
      <c r="F862" s="1">
        <f>Tabla1[[#This Row],[tiempo]]/(IF(Tabla1[[#This Row],[tamanho]]=$I$3,$L$3,IF(Tabla1[[#This Row],[tamanho]]=$I$4,$L$4,IF(Tabla1[[#This Row],[tamanho]]=$I$5,$L$5,IF(Tabla1[[#This Row],[tamanho]]=$I$6,$L$6,0))))*IF(C862="8_1",9,25))</f>
        <v>4.1369966543427629E-7</v>
      </c>
    </row>
    <row r="863" spans="1:6" ht="12.75" x14ac:dyDescent="0.2">
      <c r="A863" s="1">
        <v>35</v>
      </c>
      <c r="B863" s="1">
        <v>4</v>
      </c>
      <c r="C863" s="1" t="s">
        <v>5</v>
      </c>
      <c r="D863" s="1" t="s">
        <v>9</v>
      </c>
      <c r="E863" s="1">
        <v>6.7615413665771404</v>
      </c>
      <c r="F863" s="1">
        <f>Tabla1[[#This Row],[tiempo]]/(IF(Tabla1[[#This Row],[tamanho]]=$I$3,$L$3,IF(Tabla1[[#This Row],[tamanho]]=$I$4,$L$4,IF(Tabla1[[#This Row],[tamanho]]=$I$5,$L$5,IF(Tabla1[[#This Row],[tamanho]]=$I$6,$L$6,0))))*IF(C863="8_1",9,25))</f>
        <v>1.021037389170915E-6</v>
      </c>
    </row>
    <row r="864" spans="1:6" ht="12.75" x14ac:dyDescent="0.2">
      <c r="A864" s="1">
        <v>35</v>
      </c>
      <c r="B864" s="1">
        <v>4</v>
      </c>
      <c r="C864" s="1" t="s">
        <v>7</v>
      </c>
      <c r="D864" s="1" t="s">
        <v>9</v>
      </c>
      <c r="E864" s="1">
        <v>7.5648887157440097</v>
      </c>
      <c r="F864" s="1">
        <f>Tabla1[[#This Row],[tiempo]]/(IF(Tabla1[[#This Row],[tamanho]]=$I$3,$L$3,IF(Tabla1[[#This Row],[tamanho]]=$I$4,$L$4,IF(Tabla1[[#This Row],[tamanho]]=$I$5,$L$5,IF(Tabla1[[#This Row],[tamanho]]=$I$6,$L$6,0))))*IF(C864="8_1",9,25))</f>
        <v>4.1124533146747212E-7</v>
      </c>
    </row>
    <row r="865" spans="1:6" ht="12.75" x14ac:dyDescent="0.2">
      <c r="A865" s="1">
        <v>35</v>
      </c>
      <c r="B865" s="1">
        <v>4</v>
      </c>
      <c r="C865" s="1" t="s">
        <v>8</v>
      </c>
      <c r="D865" s="1" t="s">
        <v>9</v>
      </c>
      <c r="E865" s="1">
        <v>7.6763141155242902</v>
      </c>
      <c r="F865" s="1">
        <f>Tabla1[[#This Row],[tiempo]]/(IF(Tabla1[[#This Row],[tamanho]]=$I$3,$L$3,IF(Tabla1[[#This Row],[tamanho]]=$I$4,$L$4,IF(Tabla1[[#This Row],[tamanho]]=$I$5,$L$5,IF(Tabla1[[#This Row],[tamanho]]=$I$6,$L$6,0))))*IF(C865="8_1",9,25))</f>
        <v>4.1730268104502377E-7</v>
      </c>
    </row>
    <row r="866" spans="1:6" ht="12.75" x14ac:dyDescent="0.2">
      <c r="A866" s="1">
        <v>36</v>
      </c>
      <c r="B866" s="1">
        <v>1</v>
      </c>
      <c r="C866" s="1" t="s">
        <v>5</v>
      </c>
      <c r="D866" s="1" t="s">
        <v>6</v>
      </c>
      <c r="E866" s="1">
        <v>0.40452527999877902</v>
      </c>
      <c r="F866" s="1">
        <f>Tabla1[[#This Row],[tiempo]]/(IF(Tabla1[[#This Row],[tamanho]]=$I$3,$L$3,IF(Tabla1[[#This Row],[tamanho]]=$I$4,$L$4,IF(Tabla1[[#This Row],[tamanho]]=$I$5,$L$5,IF(Tabla1[[#This Row],[tamanho]]=$I$6,$L$6,0))))*IF(C866="8_1",9,25))</f>
        <v>1.6671211502984929E-6</v>
      </c>
    </row>
    <row r="867" spans="1:6" ht="12.75" x14ac:dyDescent="0.2">
      <c r="A867" s="1">
        <v>36</v>
      </c>
      <c r="B867" s="1">
        <v>1</v>
      </c>
      <c r="C867" s="1" t="s">
        <v>7</v>
      </c>
      <c r="D867" s="1" t="s">
        <v>6</v>
      </c>
      <c r="E867" s="1">
        <v>0.452319145202636</v>
      </c>
      <c r="F867" s="1">
        <f>Tabla1[[#This Row],[tiempo]]/(IF(Tabla1[[#This Row],[tamanho]]=$I$3,$L$3,IF(Tabla1[[#This Row],[tamanho]]=$I$4,$L$4,IF(Tabla1[[#This Row],[tamanho]]=$I$5,$L$5,IF(Tabla1[[#This Row],[tamanho]]=$I$6,$L$6,0))))*IF(C867="8_1",9,25))</f>
        <v>6.7107176321744149E-7</v>
      </c>
    </row>
    <row r="868" spans="1:6" ht="12.75" x14ac:dyDescent="0.2">
      <c r="A868" s="1">
        <v>36</v>
      </c>
      <c r="B868" s="1">
        <v>1</v>
      </c>
      <c r="C868" s="1" t="s">
        <v>8</v>
      </c>
      <c r="D868" s="1" t="s">
        <v>6</v>
      </c>
      <c r="E868" s="1">
        <v>0.46618270874023399</v>
      </c>
      <c r="F868" s="1">
        <f>Tabla1[[#This Row],[tiempo]]/(IF(Tabla1[[#This Row],[tamanho]]=$I$3,$L$3,IF(Tabla1[[#This Row],[tamanho]]=$I$4,$L$4,IF(Tabla1[[#This Row],[tamanho]]=$I$5,$L$5,IF(Tabla1[[#This Row],[tamanho]]=$I$6,$L$6,0))))*IF(C868="8_1",9,25))</f>
        <v>6.9164008566482548E-7</v>
      </c>
    </row>
    <row r="869" spans="1:6" ht="12.75" x14ac:dyDescent="0.2">
      <c r="A869" s="1">
        <v>36</v>
      </c>
      <c r="B869" s="1">
        <v>1</v>
      </c>
      <c r="C869" s="1" t="s">
        <v>5</v>
      </c>
      <c r="D869" s="1" t="s">
        <v>9</v>
      </c>
      <c r="E869" s="1">
        <v>0.41798615455627403</v>
      </c>
      <c r="F869" s="1">
        <f>Tabla1[[#This Row],[tiempo]]/(IF(Tabla1[[#This Row],[tamanho]]=$I$3,$L$3,IF(Tabla1[[#This Row],[tamanho]]=$I$4,$L$4,IF(Tabla1[[#This Row],[tamanho]]=$I$5,$L$5,IF(Tabla1[[#This Row],[tamanho]]=$I$6,$L$6,0))))*IF(C869="8_1",9,25))</f>
        <v>1.7225958258895525E-6</v>
      </c>
    </row>
    <row r="870" spans="1:6" ht="12.75" x14ac:dyDescent="0.2">
      <c r="A870" s="1">
        <v>36</v>
      </c>
      <c r="B870" s="1">
        <v>1</v>
      </c>
      <c r="C870" s="1" t="s">
        <v>7</v>
      </c>
      <c r="D870" s="1" t="s">
        <v>9</v>
      </c>
      <c r="E870" s="1">
        <v>0.470386743545532</v>
      </c>
      <c r="F870" s="1">
        <f>Tabla1[[#This Row],[tiempo]]/(IF(Tabla1[[#This Row],[tamanho]]=$I$3,$L$3,IF(Tabla1[[#This Row],[tamanho]]=$I$4,$L$4,IF(Tabla1[[#This Row],[tamanho]]=$I$5,$L$5,IF(Tabla1[[#This Row],[tamanho]]=$I$6,$L$6,0))))*IF(C870="8_1",9,25))</f>
        <v>6.9787729467828644E-7</v>
      </c>
    </row>
    <row r="871" spans="1:6" ht="12.75" x14ac:dyDescent="0.2">
      <c r="A871" s="1">
        <v>36</v>
      </c>
      <c r="B871" s="1">
        <v>1</v>
      </c>
      <c r="C871" s="1" t="s">
        <v>8</v>
      </c>
      <c r="D871" s="1" t="s">
        <v>9</v>
      </c>
      <c r="E871" s="1">
        <v>0.46601057052612299</v>
      </c>
      <c r="F871" s="1">
        <f>Tabla1[[#This Row],[tiempo]]/(IF(Tabla1[[#This Row],[tamanho]]=$I$3,$L$3,IF(Tabla1[[#This Row],[tamanho]]=$I$4,$L$4,IF(Tabla1[[#This Row],[tamanho]]=$I$5,$L$5,IF(Tabla1[[#This Row],[tamanho]]=$I$6,$L$6,0))))*IF(C871="8_1",9,25))</f>
        <v>6.9138469719390673E-7</v>
      </c>
    </row>
    <row r="872" spans="1:6" ht="12.75" x14ac:dyDescent="0.2">
      <c r="A872" s="1">
        <v>36</v>
      </c>
      <c r="B872" s="1">
        <v>2</v>
      </c>
      <c r="C872" s="1" t="s">
        <v>5</v>
      </c>
      <c r="D872" s="1" t="s">
        <v>6</v>
      </c>
      <c r="E872" s="1">
        <v>1.67811822891235</v>
      </c>
      <c r="F872" s="1">
        <f>Tabla1[[#This Row],[tiempo]]/(IF(Tabla1[[#This Row],[tamanho]]=$I$3,$L$3,IF(Tabla1[[#This Row],[tamanho]]=$I$4,$L$4,IF(Tabla1[[#This Row],[tamanho]]=$I$5,$L$5,IF(Tabla1[[#This Row],[tamanho]]=$I$6,$L$6,0))))*IF(C872="8_1",9,25))</f>
        <v>1.0159957988157339E-6</v>
      </c>
    </row>
    <row r="873" spans="1:6" ht="12.75" x14ac:dyDescent="0.2">
      <c r="A873" s="1">
        <v>36</v>
      </c>
      <c r="B873" s="1">
        <v>2</v>
      </c>
      <c r="C873" s="1" t="s">
        <v>7</v>
      </c>
      <c r="D873" s="1" t="s">
        <v>6</v>
      </c>
      <c r="E873" s="1">
        <v>1.8674390316009499</v>
      </c>
      <c r="F873" s="1">
        <f>Tabla1[[#This Row],[tiempo]]/(IF(Tabla1[[#This Row],[tamanho]]=$I$3,$L$3,IF(Tabla1[[#This Row],[tamanho]]=$I$4,$L$4,IF(Tabla1[[#This Row],[tamanho]]=$I$5,$L$5,IF(Tabla1[[#This Row],[tamanho]]=$I$6,$L$6,0))))*IF(C873="8_1",9,25))</f>
        <v>4.0702238022710081E-7</v>
      </c>
    </row>
    <row r="874" spans="1:6" ht="12.75" x14ac:dyDescent="0.2">
      <c r="A874" s="1">
        <v>36</v>
      </c>
      <c r="B874" s="1">
        <v>2</v>
      </c>
      <c r="C874" s="1" t="s">
        <v>8</v>
      </c>
      <c r="D874" s="1" t="s">
        <v>6</v>
      </c>
      <c r="E874" s="1">
        <v>1.8732521533966</v>
      </c>
      <c r="F874" s="1">
        <f>Tabla1[[#This Row],[tiempo]]/(IF(Tabla1[[#This Row],[tamanho]]=$I$3,$L$3,IF(Tabla1[[#This Row],[tamanho]]=$I$4,$L$4,IF(Tabla1[[#This Row],[tamanho]]=$I$5,$L$5,IF(Tabla1[[#This Row],[tamanho]]=$I$6,$L$6,0))))*IF(C874="8_1",9,25))</f>
        <v>4.0828939383759984E-7</v>
      </c>
    </row>
    <row r="875" spans="1:6" ht="12.75" x14ac:dyDescent="0.2">
      <c r="A875" s="1">
        <v>36</v>
      </c>
      <c r="B875" s="1">
        <v>2</v>
      </c>
      <c r="C875" s="1" t="s">
        <v>5</v>
      </c>
      <c r="D875" s="1" t="s">
        <v>9</v>
      </c>
      <c r="E875" s="1">
        <v>1.6758687496185301</v>
      </c>
      <c r="F875" s="1">
        <f>Tabla1[[#This Row],[tiempo]]/(IF(Tabla1[[#This Row],[tamanho]]=$I$3,$L$3,IF(Tabla1[[#This Row],[tamanho]]=$I$4,$L$4,IF(Tabla1[[#This Row],[tamanho]]=$I$5,$L$5,IF(Tabla1[[#This Row],[tamanho]]=$I$6,$L$6,0))))*IF(C875="8_1",9,25))</f>
        <v>1.0146338795703149E-6</v>
      </c>
    </row>
    <row r="876" spans="1:6" ht="12.75" x14ac:dyDescent="0.2">
      <c r="A876" s="1">
        <v>36</v>
      </c>
      <c r="B876" s="1">
        <v>2</v>
      </c>
      <c r="C876" s="1" t="s">
        <v>7</v>
      </c>
      <c r="D876" s="1" t="s">
        <v>9</v>
      </c>
      <c r="E876" s="1">
        <v>1.86972451210021</v>
      </c>
      <c r="F876" s="1">
        <f>Tabla1[[#This Row],[tiempo]]/(IF(Tabla1[[#This Row],[tamanho]]=$I$3,$L$3,IF(Tabla1[[#This Row],[tamanho]]=$I$4,$L$4,IF(Tabla1[[#This Row],[tamanho]]=$I$5,$L$5,IF(Tabla1[[#This Row],[tamanho]]=$I$6,$L$6,0))))*IF(C876="8_1",9,25))</f>
        <v>4.0752051788890921E-7</v>
      </c>
    </row>
    <row r="877" spans="1:6" ht="12.75" x14ac:dyDescent="0.2">
      <c r="A877" s="1">
        <v>36</v>
      </c>
      <c r="B877" s="1">
        <v>2</v>
      </c>
      <c r="C877" s="1" t="s">
        <v>8</v>
      </c>
      <c r="D877" s="1" t="s">
        <v>9</v>
      </c>
      <c r="E877" s="1">
        <v>1.8872766494750901</v>
      </c>
      <c r="F877" s="1">
        <f>Tabla1[[#This Row],[tiempo]]/(IF(Tabla1[[#This Row],[tamanho]]=$I$3,$L$3,IF(Tabla1[[#This Row],[tamanho]]=$I$4,$L$4,IF(Tabla1[[#This Row],[tamanho]]=$I$5,$L$5,IF(Tabla1[[#This Row],[tamanho]]=$I$6,$L$6,0))))*IF(C877="8_1",9,25))</f>
        <v>4.1134613822322993E-7</v>
      </c>
    </row>
    <row r="878" spans="1:6" ht="12.75" x14ac:dyDescent="0.2">
      <c r="A878" s="1">
        <v>36</v>
      </c>
      <c r="B878" s="1">
        <v>3</v>
      </c>
      <c r="C878" s="1" t="s">
        <v>5</v>
      </c>
      <c r="D878" s="1" t="s">
        <v>6</v>
      </c>
      <c r="E878" s="1">
        <v>3.8149273395538299</v>
      </c>
      <c r="F878" s="1">
        <f>Tabla1[[#This Row],[tiempo]]/(IF(Tabla1[[#This Row],[tamanho]]=$I$3,$L$3,IF(Tabla1[[#This Row],[tamanho]]=$I$4,$L$4,IF(Tabla1[[#This Row],[tamanho]]=$I$5,$L$5,IF(Tabla1[[#This Row],[tamanho]]=$I$6,$L$6,0))))*IF(C878="8_1",9,25))</f>
        <v>1.0257174551811629E-6</v>
      </c>
    </row>
    <row r="879" spans="1:6" ht="12.75" x14ac:dyDescent="0.2">
      <c r="A879" s="1">
        <v>36</v>
      </c>
      <c r="B879" s="1">
        <v>3</v>
      </c>
      <c r="C879" s="1" t="s">
        <v>7</v>
      </c>
      <c r="D879" s="1" t="s">
        <v>6</v>
      </c>
      <c r="E879" s="1">
        <v>4.2580711841583199</v>
      </c>
      <c r="F879" s="1">
        <f>Tabla1[[#This Row],[tiempo]]/(IF(Tabla1[[#This Row],[tamanho]]=$I$3,$L$3,IF(Tabla1[[#This Row],[tamanho]]=$I$4,$L$4,IF(Tabla1[[#This Row],[tamanho]]=$I$5,$L$5,IF(Tabla1[[#This Row],[tamanho]]=$I$6,$L$6,0))))*IF(C879="8_1",9,25))</f>
        <v>4.1215150855851691E-7</v>
      </c>
    </row>
    <row r="880" spans="1:6" ht="12.75" x14ac:dyDescent="0.2">
      <c r="A880" s="1">
        <v>36</v>
      </c>
      <c r="B880" s="1">
        <v>3</v>
      </c>
      <c r="C880" s="1" t="s">
        <v>8</v>
      </c>
      <c r="D880" s="1" t="s">
        <v>6</v>
      </c>
      <c r="E880" s="1">
        <v>4.3083503246307302</v>
      </c>
      <c r="F880" s="1">
        <f>Tabla1[[#This Row],[tiempo]]/(IF(Tabla1[[#This Row],[tamanho]]=$I$3,$L$3,IF(Tabla1[[#This Row],[tamanho]]=$I$4,$L$4,IF(Tabla1[[#This Row],[tamanho]]=$I$5,$L$5,IF(Tabla1[[#This Row],[tamanho]]=$I$6,$L$6,0))))*IF(C880="8_1",9,25))</f>
        <v>4.1701817769073474E-7</v>
      </c>
    </row>
    <row r="881" spans="1:6" ht="12.75" x14ac:dyDescent="0.2">
      <c r="A881" s="1">
        <v>36</v>
      </c>
      <c r="B881" s="1">
        <v>3</v>
      </c>
      <c r="C881" s="1" t="s">
        <v>5</v>
      </c>
      <c r="D881" s="1" t="s">
        <v>9</v>
      </c>
      <c r="E881" s="1">
        <v>3.8645391464233398</v>
      </c>
      <c r="F881" s="1">
        <f>Tabla1[[#This Row],[tiempo]]/(IF(Tabla1[[#This Row],[tamanho]]=$I$3,$L$3,IF(Tabla1[[#This Row],[tamanho]]=$I$4,$L$4,IF(Tabla1[[#This Row],[tamanho]]=$I$5,$L$5,IF(Tabla1[[#This Row],[tamanho]]=$I$6,$L$6,0))))*IF(C881="8_1",9,25))</f>
        <v>1.0390565549227281E-6</v>
      </c>
    </row>
    <row r="882" spans="1:6" ht="12.75" x14ac:dyDescent="0.2">
      <c r="A882" s="1">
        <v>36</v>
      </c>
      <c r="B882" s="1">
        <v>3</v>
      </c>
      <c r="C882" s="1" t="s">
        <v>7</v>
      </c>
      <c r="D882" s="1" t="s">
        <v>9</v>
      </c>
      <c r="E882" s="1">
        <v>4.3379542827606201</v>
      </c>
      <c r="F882" s="1">
        <f>Tabla1[[#This Row],[tiempo]]/(IF(Tabla1[[#This Row],[tamanho]]=$I$3,$L$3,IF(Tabla1[[#This Row],[tamanho]]=$I$4,$L$4,IF(Tabla1[[#This Row],[tamanho]]=$I$5,$L$5,IF(Tabla1[[#This Row],[tamanho]]=$I$6,$L$6,0))))*IF(C882="8_1",9,25))</f>
        <v>4.1988363377985108E-7</v>
      </c>
    </row>
    <row r="883" spans="1:6" ht="12.75" x14ac:dyDescent="0.2">
      <c r="A883" s="1">
        <v>36</v>
      </c>
      <c r="B883" s="1">
        <v>3</v>
      </c>
      <c r="C883" s="1" t="s">
        <v>8</v>
      </c>
      <c r="D883" s="1" t="s">
        <v>9</v>
      </c>
      <c r="E883" s="1">
        <v>4.39497518539428</v>
      </c>
      <c r="F883" s="1">
        <f>Tabla1[[#This Row],[tiempo]]/(IF(Tabla1[[#This Row],[tamanho]]=$I$3,$L$3,IF(Tabla1[[#This Row],[tamanho]]=$I$4,$L$4,IF(Tabla1[[#This Row],[tamanho]]=$I$5,$L$5,IF(Tabla1[[#This Row],[tamanho]]=$I$6,$L$6,0))))*IF(C883="8_1",9,25))</f>
        <v>4.2540285833562296E-7</v>
      </c>
    </row>
    <row r="884" spans="1:6" ht="12.75" x14ac:dyDescent="0.2">
      <c r="A884" s="1">
        <v>36</v>
      </c>
      <c r="B884" s="1">
        <v>4</v>
      </c>
      <c r="C884" s="1" t="s">
        <v>5</v>
      </c>
      <c r="D884" s="1" t="s">
        <v>6</v>
      </c>
      <c r="E884" s="1">
        <v>6.8125138282775799</v>
      </c>
      <c r="F884" s="1">
        <f>Tabla1[[#This Row],[tiempo]]/(IF(Tabla1[[#This Row],[tamanho]]=$I$3,$L$3,IF(Tabla1[[#This Row],[tamanho]]=$I$4,$L$4,IF(Tabla1[[#This Row],[tamanho]]=$I$5,$L$5,IF(Tabla1[[#This Row],[tamanho]]=$I$6,$L$6,0))))*IF(C884="8_1",9,25))</f>
        <v>1.0287345674314063E-6</v>
      </c>
    </row>
    <row r="885" spans="1:6" ht="12.75" x14ac:dyDescent="0.2">
      <c r="A885" s="1">
        <v>36</v>
      </c>
      <c r="B885" s="1">
        <v>4</v>
      </c>
      <c r="C885" s="1" t="s">
        <v>7</v>
      </c>
      <c r="D885" s="1" t="s">
        <v>6</v>
      </c>
      <c r="E885" s="1">
        <v>7.5905783176422101</v>
      </c>
      <c r="F885" s="1">
        <f>Tabla1[[#This Row],[tiempo]]/(IF(Tabla1[[#This Row],[tamanho]]=$I$3,$L$3,IF(Tabla1[[#This Row],[tamanho]]=$I$4,$L$4,IF(Tabla1[[#This Row],[tamanho]]=$I$5,$L$5,IF(Tabla1[[#This Row],[tamanho]]=$I$6,$L$6,0))))*IF(C885="8_1",9,25))</f>
        <v>4.1264187928791863E-7</v>
      </c>
    </row>
    <row r="886" spans="1:6" ht="12.75" x14ac:dyDescent="0.2">
      <c r="A886" s="1">
        <v>36</v>
      </c>
      <c r="B886" s="1">
        <v>4</v>
      </c>
      <c r="C886" s="1" t="s">
        <v>8</v>
      </c>
      <c r="D886" s="1" t="s">
        <v>6</v>
      </c>
      <c r="E886" s="1">
        <v>7.6328613758087096</v>
      </c>
      <c r="F886" s="1">
        <f>Tabla1[[#This Row],[tiempo]]/(IF(Tabla1[[#This Row],[tamanho]]=$I$3,$L$3,IF(Tabla1[[#This Row],[tamanho]]=$I$4,$L$4,IF(Tabla1[[#This Row],[tamanho]]=$I$5,$L$5,IF(Tabla1[[#This Row],[tamanho]]=$I$6,$L$6,0))))*IF(C886="8_1",9,25))</f>
        <v>4.1494048683186719E-7</v>
      </c>
    </row>
    <row r="887" spans="1:6" ht="12.75" x14ac:dyDescent="0.2">
      <c r="A887" s="1">
        <v>36</v>
      </c>
      <c r="B887" s="1">
        <v>4</v>
      </c>
      <c r="C887" s="1" t="s">
        <v>5</v>
      </c>
      <c r="D887" s="1" t="s">
        <v>9</v>
      </c>
      <c r="E887" s="1">
        <v>6.8763153553008998</v>
      </c>
      <c r="F887" s="1">
        <f>Tabla1[[#This Row],[tiempo]]/(IF(Tabla1[[#This Row],[tamanho]]=$I$3,$L$3,IF(Tabla1[[#This Row],[tamanho]]=$I$4,$L$4,IF(Tabla1[[#This Row],[tamanho]]=$I$5,$L$5,IF(Tabla1[[#This Row],[tamanho]]=$I$6,$L$6,0))))*IF(C887="8_1",9,25))</f>
        <v>1.0383690192590649E-6</v>
      </c>
    </row>
    <row r="888" spans="1:6" ht="12.75" x14ac:dyDescent="0.2">
      <c r="A888" s="1">
        <v>36</v>
      </c>
      <c r="B888" s="1">
        <v>4</v>
      </c>
      <c r="C888" s="1" t="s">
        <v>7</v>
      </c>
      <c r="D888" s="1" t="s">
        <v>9</v>
      </c>
      <c r="E888" s="1">
        <v>7.6894669532775799</v>
      </c>
      <c r="F888" s="1">
        <f>Tabla1[[#This Row],[tiempo]]/(IF(Tabla1[[#This Row],[tamanho]]=$I$3,$L$3,IF(Tabla1[[#This Row],[tamanho]]=$I$4,$L$4,IF(Tabla1[[#This Row],[tamanho]]=$I$5,$L$5,IF(Tabla1[[#This Row],[tamanho]]=$I$6,$L$6,0))))*IF(C888="8_1",9,25))</f>
        <v>4.1801770056809118E-7</v>
      </c>
    </row>
    <row r="889" spans="1:6" ht="12.75" x14ac:dyDescent="0.2">
      <c r="A889" s="1">
        <v>36</v>
      </c>
      <c r="B889" s="1">
        <v>4</v>
      </c>
      <c r="C889" s="1" t="s">
        <v>8</v>
      </c>
      <c r="D889" s="1" t="s">
        <v>9</v>
      </c>
      <c r="E889" s="1">
        <v>7.7580764293670601</v>
      </c>
      <c r="F889" s="1">
        <f>Tabla1[[#This Row],[tiempo]]/(IF(Tabla1[[#This Row],[tamanho]]=$I$3,$L$3,IF(Tabla1[[#This Row],[tamanho]]=$I$4,$L$4,IF(Tabla1[[#This Row],[tamanho]]=$I$5,$L$5,IF(Tabla1[[#This Row],[tamanho]]=$I$6,$L$6,0))))*IF(C889="8_1",9,25))</f>
        <v>4.2174747476523256E-7</v>
      </c>
    </row>
    <row r="890" spans="1:6" ht="12.75" x14ac:dyDescent="0.2">
      <c r="A890" s="1">
        <v>37</v>
      </c>
      <c r="B890" s="1">
        <v>1</v>
      </c>
      <c r="C890" s="1" t="s">
        <v>5</v>
      </c>
      <c r="D890" s="1" t="s">
        <v>6</v>
      </c>
      <c r="E890" s="1">
        <v>0.40405988693237299</v>
      </c>
      <c r="F890" s="1">
        <f>Tabla1[[#This Row],[tiempo]]/(IF(Tabla1[[#This Row],[tamanho]]=$I$3,$L$3,IF(Tabla1[[#This Row],[tamanho]]=$I$4,$L$4,IF(Tabla1[[#This Row],[tamanho]]=$I$5,$L$5,IF(Tabla1[[#This Row],[tamanho]]=$I$6,$L$6,0))))*IF(C890="8_1",9,25))</f>
        <v>1.665203182095838E-6</v>
      </c>
    </row>
    <row r="891" spans="1:6" ht="12.75" x14ac:dyDescent="0.2">
      <c r="A891" s="1">
        <v>37</v>
      </c>
      <c r="B891" s="1">
        <v>1</v>
      </c>
      <c r="C891" s="1" t="s">
        <v>7</v>
      </c>
      <c r="D891" s="1" t="s">
        <v>6</v>
      </c>
      <c r="E891" s="1">
        <v>0.451284170150756</v>
      </c>
      <c r="F891" s="1">
        <f>Tabla1[[#This Row],[tiempo]]/(IF(Tabla1[[#This Row],[tamanho]]=$I$3,$L$3,IF(Tabla1[[#This Row],[tamanho]]=$I$4,$L$4,IF(Tabla1[[#This Row],[tamanho]]=$I$5,$L$5,IF(Tabla1[[#This Row],[tamanho]]=$I$6,$L$6,0))))*IF(C891="8_1",9,25))</f>
        <v>6.6953624887913062E-7</v>
      </c>
    </row>
    <row r="892" spans="1:6" ht="12.75" x14ac:dyDescent="0.2">
      <c r="A892" s="1">
        <v>37</v>
      </c>
      <c r="B892" s="1">
        <v>1</v>
      </c>
      <c r="C892" s="1" t="s">
        <v>8</v>
      </c>
      <c r="D892" s="1" t="s">
        <v>6</v>
      </c>
      <c r="E892" s="1">
        <v>0.455361127853393</v>
      </c>
      <c r="F892" s="1">
        <f>Tabla1[[#This Row],[tiempo]]/(IF(Tabla1[[#This Row],[tamanho]]=$I$3,$L$3,IF(Tabla1[[#This Row],[tamanho]]=$I$4,$L$4,IF(Tabla1[[#This Row],[tamanho]]=$I$5,$L$5,IF(Tabla1[[#This Row],[tamanho]]=$I$6,$L$6,0))))*IF(C892="8_1",9,25))</f>
        <v>6.7558492319037572E-7</v>
      </c>
    </row>
    <row r="893" spans="1:6" ht="12.75" x14ac:dyDescent="0.2">
      <c r="A893" s="1">
        <v>37</v>
      </c>
      <c r="B893" s="1">
        <v>1</v>
      </c>
      <c r="C893" s="1" t="s">
        <v>5</v>
      </c>
      <c r="D893" s="1" t="s">
        <v>9</v>
      </c>
      <c r="E893" s="1">
        <v>0.41017723083495999</v>
      </c>
      <c r="F893" s="1">
        <f>Tabla1[[#This Row],[tiempo]]/(IF(Tabla1[[#This Row],[tamanho]]=$I$3,$L$3,IF(Tabla1[[#This Row],[tamanho]]=$I$4,$L$4,IF(Tabla1[[#This Row],[tamanho]]=$I$5,$L$5,IF(Tabla1[[#This Row],[tamanho]]=$I$6,$L$6,0))))*IF(C893="8_1",9,25))</f>
        <v>1.6904138522514413E-6</v>
      </c>
    </row>
    <row r="894" spans="1:6" ht="12.75" x14ac:dyDescent="0.2">
      <c r="A894" s="1">
        <v>37</v>
      </c>
      <c r="B894" s="1">
        <v>1</v>
      </c>
      <c r="C894" s="1" t="s">
        <v>7</v>
      </c>
      <c r="D894" s="1" t="s">
        <v>9</v>
      </c>
      <c r="E894" s="1">
        <v>0.452151298522949</v>
      </c>
      <c r="F894" s="1">
        <f>Tabla1[[#This Row],[tiempo]]/(IF(Tabla1[[#This Row],[tamanho]]=$I$3,$L$3,IF(Tabla1[[#This Row],[tamanho]]=$I$4,$L$4,IF(Tabla1[[#This Row],[tamanho]]=$I$5,$L$5,IF(Tabla1[[#This Row],[tamanho]]=$I$6,$L$6,0))))*IF(C894="8_1",9,25))</f>
        <v>6.7082274177211374E-7</v>
      </c>
    </row>
    <row r="895" spans="1:6" ht="12.75" x14ac:dyDescent="0.2">
      <c r="A895" s="1">
        <v>37</v>
      </c>
      <c r="B895" s="1">
        <v>1</v>
      </c>
      <c r="C895" s="1" t="s">
        <v>8</v>
      </c>
      <c r="D895" s="1" t="s">
        <v>9</v>
      </c>
      <c r="E895" s="1">
        <v>0.46004104614257801</v>
      </c>
      <c r="F895" s="1">
        <f>Tabla1[[#This Row],[tiempo]]/(IF(Tabla1[[#This Row],[tamanho]]=$I$3,$L$3,IF(Tabla1[[#This Row],[tamanho]]=$I$4,$L$4,IF(Tabla1[[#This Row],[tamanho]]=$I$5,$L$5,IF(Tabla1[[#This Row],[tamanho]]=$I$6,$L$6,0))))*IF(C895="8_1",9,25))</f>
        <v>6.8252816459712627E-7</v>
      </c>
    </row>
    <row r="896" spans="1:6" ht="12.75" x14ac:dyDescent="0.2">
      <c r="A896" s="1">
        <v>37</v>
      </c>
      <c r="B896" s="1">
        <v>2</v>
      </c>
      <c r="C896" s="1" t="s">
        <v>5</v>
      </c>
      <c r="D896" s="1" t="s">
        <v>6</v>
      </c>
      <c r="E896" s="1">
        <v>1.67647576332092</v>
      </c>
      <c r="F896" s="1">
        <f>Tabla1[[#This Row],[tiempo]]/(IF(Tabla1[[#This Row],[tamanho]]=$I$3,$L$3,IF(Tabla1[[#This Row],[tamanho]]=$I$4,$L$4,IF(Tabla1[[#This Row],[tamanho]]=$I$5,$L$5,IF(Tabla1[[#This Row],[tamanho]]=$I$6,$L$6,0))))*IF(C896="8_1",9,25))</f>
        <v>1.0150013884626123E-6</v>
      </c>
    </row>
    <row r="897" spans="1:6" ht="12.75" x14ac:dyDescent="0.2">
      <c r="A897" s="1">
        <v>37</v>
      </c>
      <c r="B897" s="1">
        <v>2</v>
      </c>
      <c r="C897" s="1" t="s">
        <v>7</v>
      </c>
      <c r="D897" s="1" t="s">
        <v>6</v>
      </c>
      <c r="E897" s="1">
        <v>1.8729498386382999</v>
      </c>
      <c r="F897" s="1">
        <f>Tabla1[[#This Row],[tiempo]]/(IF(Tabla1[[#This Row],[tamanho]]=$I$3,$L$3,IF(Tabla1[[#This Row],[tamanho]]=$I$4,$L$4,IF(Tabla1[[#This Row],[tamanho]]=$I$5,$L$5,IF(Tabla1[[#This Row],[tamanho]]=$I$6,$L$6,0))))*IF(C897="8_1",9,25))</f>
        <v>4.0822350206259736E-7</v>
      </c>
    </row>
    <row r="898" spans="1:6" ht="12.75" x14ac:dyDescent="0.2">
      <c r="A898" s="1">
        <v>37</v>
      </c>
      <c r="B898" s="1">
        <v>2</v>
      </c>
      <c r="C898" s="1" t="s">
        <v>8</v>
      </c>
      <c r="D898" s="1" t="s">
        <v>6</v>
      </c>
      <c r="E898" s="1">
        <v>1.89358711242675</v>
      </c>
      <c r="F898" s="1">
        <f>Tabla1[[#This Row],[tiempo]]/(IF(Tabla1[[#This Row],[tamanho]]=$I$3,$L$3,IF(Tabla1[[#This Row],[tamanho]]=$I$4,$L$4,IF(Tabla1[[#This Row],[tamanho]]=$I$5,$L$5,IF(Tabla1[[#This Row],[tamanho]]=$I$6,$L$6,0))))*IF(C898="8_1",9,25))</f>
        <v>4.1272155107872628E-7</v>
      </c>
    </row>
    <row r="899" spans="1:6" ht="12.75" x14ac:dyDescent="0.2">
      <c r="A899" s="1">
        <v>37</v>
      </c>
      <c r="B899" s="1">
        <v>2</v>
      </c>
      <c r="C899" s="1" t="s">
        <v>5</v>
      </c>
      <c r="D899" s="1" t="s">
        <v>9</v>
      </c>
      <c r="E899" s="1">
        <v>1.6991260051727199</v>
      </c>
      <c r="F899" s="1">
        <f>Tabla1[[#This Row],[tiempo]]/(IF(Tabla1[[#This Row],[tamanho]]=$I$3,$L$3,IF(Tabla1[[#This Row],[tamanho]]=$I$4,$L$4,IF(Tabla1[[#This Row],[tamanho]]=$I$5,$L$5,IF(Tabla1[[#This Row],[tamanho]]=$I$6,$L$6,0))))*IF(C899="8_1",9,25))</f>
        <v>1.0287146955271E-6</v>
      </c>
    </row>
    <row r="900" spans="1:6" ht="12.75" x14ac:dyDescent="0.2">
      <c r="A900" s="1">
        <v>37</v>
      </c>
      <c r="B900" s="1">
        <v>2</v>
      </c>
      <c r="C900" s="1" t="s">
        <v>7</v>
      </c>
      <c r="D900" s="1" t="s">
        <v>9</v>
      </c>
      <c r="E900" s="1">
        <v>1.91804599761962</v>
      </c>
      <c r="F900" s="1">
        <f>Tabla1[[#This Row],[tiempo]]/(IF(Tabla1[[#This Row],[tamanho]]=$I$3,$L$3,IF(Tabla1[[#This Row],[tamanho]]=$I$4,$L$4,IF(Tabla1[[#This Row],[tamanho]]=$I$5,$L$5,IF(Tabla1[[#This Row],[tamanho]]=$I$6,$L$6,0))))*IF(C900="8_1",9,25))</f>
        <v>4.180525490392694E-7</v>
      </c>
    </row>
    <row r="901" spans="1:6" ht="12.75" x14ac:dyDescent="0.2">
      <c r="A901" s="1">
        <v>37</v>
      </c>
      <c r="B901" s="1">
        <v>2</v>
      </c>
      <c r="C901" s="1" t="s">
        <v>8</v>
      </c>
      <c r="D901" s="1" t="s">
        <v>9</v>
      </c>
      <c r="E901" s="1">
        <v>1.94065117835998</v>
      </c>
      <c r="F901" s="1">
        <f>Tabla1[[#This Row],[tiempo]]/(IF(Tabla1[[#This Row],[tamanho]]=$I$3,$L$3,IF(Tabla1[[#This Row],[tamanho]]=$I$4,$L$4,IF(Tabla1[[#This Row],[tamanho]]=$I$5,$L$5,IF(Tabla1[[#This Row],[tamanho]]=$I$6,$L$6,0))))*IF(C901="8_1",9,25))</f>
        <v>4.2297951817438348E-7</v>
      </c>
    </row>
    <row r="902" spans="1:6" ht="12.75" x14ac:dyDescent="0.2">
      <c r="A902" s="1">
        <v>37</v>
      </c>
      <c r="B902" s="1">
        <v>3</v>
      </c>
      <c r="C902" s="1" t="s">
        <v>5</v>
      </c>
      <c r="D902" s="1" t="s">
        <v>6</v>
      </c>
      <c r="E902" s="1">
        <v>3.8185486793518</v>
      </c>
      <c r="F902" s="1">
        <f>Tabla1[[#This Row],[tiempo]]/(IF(Tabla1[[#This Row],[tamanho]]=$I$3,$L$3,IF(Tabla1[[#This Row],[tamanho]]=$I$4,$L$4,IF(Tabla1[[#This Row],[tamanho]]=$I$5,$L$5,IF(Tabla1[[#This Row],[tamanho]]=$I$6,$L$6,0))))*IF(C902="8_1",9,25))</f>
        <v>1.0266911228585018E-6</v>
      </c>
    </row>
    <row r="903" spans="1:6" ht="12.75" x14ac:dyDescent="0.2">
      <c r="A903" s="1">
        <v>37</v>
      </c>
      <c r="B903" s="1">
        <v>3</v>
      </c>
      <c r="C903" s="1" t="s">
        <v>7</v>
      </c>
      <c r="D903" s="1" t="s">
        <v>6</v>
      </c>
      <c r="E903" s="1">
        <v>4.3135886192321697</v>
      </c>
      <c r="F903" s="1">
        <f>Tabla1[[#This Row],[tiempo]]/(IF(Tabla1[[#This Row],[tamanho]]=$I$3,$L$3,IF(Tabla1[[#This Row],[tamanho]]=$I$4,$L$4,IF(Tabla1[[#This Row],[tamanho]]=$I$5,$L$5,IF(Tabla1[[#This Row],[tamanho]]=$I$6,$L$6,0))))*IF(C903="8_1",9,25))</f>
        <v>4.175252079701461E-7</v>
      </c>
    </row>
    <row r="904" spans="1:6" ht="12.75" x14ac:dyDescent="0.2">
      <c r="A904" s="1">
        <v>37</v>
      </c>
      <c r="B904" s="1">
        <v>3</v>
      </c>
      <c r="C904" s="1" t="s">
        <v>8</v>
      </c>
      <c r="D904" s="1" t="s">
        <v>6</v>
      </c>
      <c r="E904" s="1">
        <v>4.3621540069579998</v>
      </c>
      <c r="F904" s="1">
        <f>Tabla1[[#This Row],[tiempo]]/(IF(Tabla1[[#This Row],[tamanho]]=$I$3,$L$3,IF(Tabla1[[#This Row],[tamanho]]=$I$4,$L$4,IF(Tabla1[[#This Row],[tamanho]]=$I$5,$L$5,IF(Tabla1[[#This Row],[tamanho]]=$I$6,$L$6,0))))*IF(C904="8_1",9,25))</f>
        <v>4.2222599782293171E-7</v>
      </c>
    </row>
    <row r="905" spans="1:6" ht="12.75" x14ac:dyDescent="0.2">
      <c r="A905" s="1">
        <v>37</v>
      </c>
      <c r="B905" s="1">
        <v>3</v>
      </c>
      <c r="C905" s="1" t="s">
        <v>5</v>
      </c>
      <c r="D905" s="1" t="s">
        <v>9</v>
      </c>
      <c r="E905" s="1">
        <v>3.8627226352691602</v>
      </c>
      <c r="F905" s="1">
        <f>Tabla1[[#This Row],[tiempo]]/(IF(Tabla1[[#This Row],[tamanho]]=$I$3,$L$3,IF(Tabla1[[#This Row],[tamanho]]=$I$4,$L$4,IF(Tabla1[[#This Row],[tamanho]]=$I$5,$L$5,IF(Tabla1[[#This Row],[tamanho]]=$I$6,$L$6,0))))*IF(C905="8_1",9,25))</f>
        <v>1.0385681505489267E-6</v>
      </c>
    </row>
    <row r="906" spans="1:6" ht="12.75" x14ac:dyDescent="0.2">
      <c r="A906" s="1">
        <v>37</v>
      </c>
      <c r="B906" s="1">
        <v>3</v>
      </c>
      <c r="C906" s="1" t="s">
        <v>7</v>
      </c>
      <c r="D906" s="1" t="s">
        <v>9</v>
      </c>
      <c r="E906" s="1">
        <v>4.28747510910034</v>
      </c>
      <c r="F906" s="1">
        <f>Tabla1[[#This Row],[tiempo]]/(IF(Tabla1[[#This Row],[tamanho]]=$I$3,$L$3,IF(Tabla1[[#This Row],[tamanho]]=$I$4,$L$4,IF(Tabla1[[#This Row],[tamanho]]=$I$5,$L$5,IF(Tabla1[[#This Row],[tamanho]]=$I$6,$L$6,0))))*IF(C906="8_1",9,25))</f>
        <v>4.1499760283413214E-7</v>
      </c>
    </row>
    <row r="907" spans="1:6" ht="12.75" x14ac:dyDescent="0.2">
      <c r="A907" s="1">
        <v>37</v>
      </c>
      <c r="B907" s="1">
        <v>3</v>
      </c>
      <c r="C907" s="1" t="s">
        <v>8</v>
      </c>
      <c r="D907" s="1" t="s">
        <v>9</v>
      </c>
      <c r="E907" s="1">
        <v>4.2787172794341997</v>
      </c>
      <c r="F907" s="1">
        <f>Tabla1[[#This Row],[tiempo]]/(IF(Tabla1[[#This Row],[tamanho]]=$I$3,$L$3,IF(Tabla1[[#This Row],[tamanho]]=$I$4,$L$4,IF(Tabla1[[#This Row],[tamanho]]=$I$5,$L$5,IF(Tabla1[[#This Row],[tamanho]]=$I$6,$L$6,0))))*IF(C907="8_1",9,25))</f>
        <v>4.1414990617701016E-7</v>
      </c>
    </row>
    <row r="908" spans="1:6" ht="12.75" x14ac:dyDescent="0.2">
      <c r="A908" s="1">
        <v>37</v>
      </c>
      <c r="B908" s="1">
        <v>4</v>
      </c>
      <c r="C908" s="1" t="s">
        <v>5</v>
      </c>
      <c r="D908" s="1" t="s">
        <v>6</v>
      </c>
      <c r="E908" s="1">
        <v>6.74749732017517</v>
      </c>
      <c r="F908" s="1">
        <f>Tabla1[[#This Row],[tiempo]]/(IF(Tabla1[[#This Row],[tamanho]]=$I$3,$L$3,IF(Tabla1[[#This Row],[tamanho]]=$I$4,$L$4,IF(Tabla1[[#This Row],[tamanho]]=$I$5,$L$5,IF(Tabla1[[#This Row],[tamanho]]=$I$6,$L$6,0))))*IF(C908="8_1",9,25))</f>
        <v>1.0189166454389393E-6</v>
      </c>
    </row>
    <row r="909" spans="1:6" ht="12.75" x14ac:dyDescent="0.2">
      <c r="A909" s="1">
        <v>37</v>
      </c>
      <c r="B909" s="1">
        <v>4</v>
      </c>
      <c r="C909" s="1" t="s">
        <v>7</v>
      </c>
      <c r="D909" s="1" t="s">
        <v>6</v>
      </c>
      <c r="E909" s="1">
        <v>7.59144687652587</v>
      </c>
      <c r="F909" s="1">
        <f>Tabla1[[#This Row],[tiempo]]/(IF(Tabla1[[#This Row],[tamanho]]=$I$3,$L$3,IF(Tabla1[[#This Row],[tamanho]]=$I$4,$L$4,IF(Tabla1[[#This Row],[tamanho]]=$I$5,$L$5,IF(Tabla1[[#This Row],[tamanho]]=$I$6,$L$6,0))))*IF(C909="8_1",9,25))</f>
        <v>4.1268909621330002E-7</v>
      </c>
    </row>
    <row r="910" spans="1:6" ht="12.75" x14ac:dyDescent="0.2">
      <c r="A910" s="1">
        <v>37</v>
      </c>
      <c r="B910" s="1">
        <v>4</v>
      </c>
      <c r="C910" s="1" t="s">
        <v>8</v>
      </c>
      <c r="D910" s="1" t="s">
        <v>6</v>
      </c>
      <c r="E910" s="1">
        <v>7.6611821651458696</v>
      </c>
      <c r="F910" s="1">
        <f>Tabla1[[#This Row],[tiempo]]/(IF(Tabla1[[#This Row],[tamanho]]=$I$3,$L$3,IF(Tabla1[[#This Row],[tamanho]]=$I$4,$L$4,IF(Tabla1[[#This Row],[tamanho]]=$I$5,$L$5,IF(Tabla1[[#This Row],[tamanho]]=$I$6,$L$6,0))))*IF(C910="8_1",9,25))</f>
        <v>4.164800722555287E-7</v>
      </c>
    </row>
    <row r="911" spans="1:6" ht="12.75" x14ac:dyDescent="0.2">
      <c r="A911" s="1">
        <v>37</v>
      </c>
      <c r="B911" s="1">
        <v>4</v>
      </c>
      <c r="C911" s="1" t="s">
        <v>5</v>
      </c>
      <c r="D911" s="1" t="s">
        <v>9</v>
      </c>
      <c r="E911" s="1">
        <v>6.8379714488983101</v>
      </c>
      <c r="F911" s="1">
        <f>Tabla1[[#This Row],[tiempo]]/(IF(Tabla1[[#This Row],[tamanho]]=$I$3,$L$3,IF(Tabla1[[#This Row],[tamanho]]=$I$4,$L$4,IF(Tabla1[[#This Row],[tamanho]]=$I$5,$L$5,IF(Tabla1[[#This Row],[tamanho]]=$I$6,$L$6,0))))*IF(C911="8_1",9,25))</f>
        <v>1.0325788362281013E-6</v>
      </c>
    </row>
    <row r="912" spans="1:6" ht="12.75" x14ac:dyDescent="0.2">
      <c r="A912" s="1">
        <v>37</v>
      </c>
      <c r="B912" s="1">
        <v>4</v>
      </c>
      <c r="C912" s="1" t="s">
        <v>7</v>
      </c>
      <c r="D912" s="1" t="s">
        <v>9</v>
      </c>
      <c r="E912" s="1">
        <v>7.7055084705352703</v>
      </c>
      <c r="F912" s="1">
        <f>Tabla1[[#This Row],[tiempo]]/(IF(Tabla1[[#This Row],[tamanho]]=$I$3,$L$3,IF(Tabla1[[#This Row],[tamanho]]=$I$4,$L$4,IF(Tabla1[[#This Row],[tamanho]]=$I$5,$L$5,IF(Tabla1[[#This Row],[tamanho]]=$I$6,$L$6,0))))*IF(C912="8_1",9,25))</f>
        <v>4.1888975557508029E-7</v>
      </c>
    </row>
    <row r="913" spans="1:6" ht="12.75" x14ac:dyDescent="0.2">
      <c r="A913" s="1">
        <v>37</v>
      </c>
      <c r="B913" s="1">
        <v>4</v>
      </c>
      <c r="C913" s="1" t="s">
        <v>8</v>
      </c>
      <c r="D913" s="1" t="s">
        <v>9</v>
      </c>
      <c r="E913" s="1">
        <v>7.6909699440002397</v>
      </c>
      <c r="F913" s="1">
        <f>Tabla1[[#This Row],[tiempo]]/(IF(Tabla1[[#This Row],[tamanho]]=$I$3,$L$3,IF(Tabla1[[#This Row],[tamanho]]=$I$4,$L$4,IF(Tabla1[[#This Row],[tamanho]]=$I$5,$L$5,IF(Tabla1[[#This Row],[tamanho]]=$I$6,$L$6,0))))*IF(C913="8_1",9,25))</f>
        <v>4.1809940671621287E-7</v>
      </c>
    </row>
    <row r="914" spans="1:6" ht="12.75" x14ac:dyDescent="0.2">
      <c r="A914" s="1">
        <v>38</v>
      </c>
      <c r="B914" s="1">
        <v>1</v>
      </c>
      <c r="C914" s="1" t="s">
        <v>5</v>
      </c>
      <c r="D914" s="1" t="s">
        <v>6</v>
      </c>
      <c r="E914" s="1">
        <v>0.39737582206726002</v>
      </c>
      <c r="F914" s="1">
        <f>Tabla1[[#This Row],[tiempo]]/(IF(Tabla1[[#This Row],[tamanho]]=$I$3,$L$3,IF(Tabla1[[#This Row],[tamanho]]=$I$4,$L$4,IF(Tabla1[[#This Row],[tamanho]]=$I$5,$L$5,IF(Tabla1[[#This Row],[tamanho]]=$I$6,$L$6,0))))*IF(C914="8_1",9,25))</f>
        <v>1.6376569533245966E-6</v>
      </c>
    </row>
    <row r="915" spans="1:6" ht="12.75" x14ac:dyDescent="0.2">
      <c r="A915" s="1">
        <v>38</v>
      </c>
      <c r="B915" s="1">
        <v>1</v>
      </c>
      <c r="C915" s="1" t="s">
        <v>7</v>
      </c>
      <c r="D915" s="1" t="s">
        <v>6</v>
      </c>
      <c r="E915" s="1">
        <v>0.45084667205810502</v>
      </c>
      <c r="F915" s="1">
        <f>Tabla1[[#This Row],[tiempo]]/(IF(Tabla1[[#This Row],[tamanho]]=$I$3,$L$3,IF(Tabla1[[#This Row],[tamanho]]=$I$4,$L$4,IF(Tabla1[[#This Row],[tamanho]]=$I$5,$L$5,IF(Tabla1[[#This Row],[tamanho]]=$I$6,$L$6,0))))*IF(C915="8_1",9,25))</f>
        <v>6.6888716599251519E-7</v>
      </c>
    </row>
    <row r="916" spans="1:6" ht="12.75" x14ac:dyDescent="0.2">
      <c r="A916" s="1">
        <v>38</v>
      </c>
      <c r="B916" s="1">
        <v>1</v>
      </c>
      <c r="C916" s="1" t="s">
        <v>8</v>
      </c>
      <c r="D916" s="1" t="s">
        <v>6</v>
      </c>
      <c r="E916" s="1">
        <v>0.45272111892700101</v>
      </c>
      <c r="F916" s="1">
        <f>Tabla1[[#This Row],[tiempo]]/(IF(Tabla1[[#This Row],[tamanho]]=$I$3,$L$3,IF(Tabla1[[#This Row],[tamanho]]=$I$4,$L$4,IF(Tabla1[[#This Row],[tamanho]]=$I$5,$L$5,IF(Tabla1[[#This Row],[tamanho]]=$I$6,$L$6,0))))*IF(C916="8_1",9,25))</f>
        <v>6.7166814128111129E-7</v>
      </c>
    </row>
    <row r="917" spans="1:6" ht="12.75" x14ac:dyDescent="0.2">
      <c r="A917" s="1">
        <v>38</v>
      </c>
      <c r="B917" s="1">
        <v>1</v>
      </c>
      <c r="C917" s="1" t="s">
        <v>5</v>
      </c>
      <c r="D917" s="1" t="s">
        <v>9</v>
      </c>
      <c r="E917" s="1">
        <v>0.40150070190429599</v>
      </c>
      <c r="F917" s="1">
        <f>Tabla1[[#This Row],[tiempo]]/(IF(Tabla1[[#This Row],[tamanho]]=$I$3,$L$3,IF(Tabla1[[#This Row],[tamanho]]=$I$4,$L$4,IF(Tabla1[[#This Row],[tamanho]]=$I$5,$L$5,IF(Tabla1[[#This Row],[tamanho]]=$I$6,$L$6,0))))*IF(C917="8_1",9,25))</f>
        <v>1.6546563221125823E-6</v>
      </c>
    </row>
    <row r="918" spans="1:6" ht="12.75" x14ac:dyDescent="0.2">
      <c r="A918" s="1">
        <v>38</v>
      </c>
      <c r="B918" s="1">
        <v>1</v>
      </c>
      <c r="C918" s="1" t="s">
        <v>7</v>
      </c>
      <c r="D918" s="1" t="s">
        <v>9</v>
      </c>
      <c r="E918" s="1">
        <v>0.453304052352905</v>
      </c>
      <c r="F918" s="1">
        <f>Tabla1[[#This Row],[tiempo]]/(IF(Tabla1[[#This Row],[tamanho]]=$I$3,$L$3,IF(Tabla1[[#This Row],[tamanho]]=$I$4,$L$4,IF(Tabla1[[#This Row],[tamanho]]=$I$5,$L$5,IF(Tabla1[[#This Row],[tamanho]]=$I$6,$L$6,0))))*IF(C918="8_1",9,25))</f>
        <v>6.7253299559052708E-7</v>
      </c>
    </row>
    <row r="919" spans="1:6" ht="12.75" x14ac:dyDescent="0.2">
      <c r="A919" s="1">
        <v>38</v>
      </c>
      <c r="B919" s="1">
        <v>1</v>
      </c>
      <c r="C919" s="1" t="s">
        <v>8</v>
      </c>
      <c r="D919" s="1" t="s">
        <v>9</v>
      </c>
      <c r="E919" s="1">
        <v>0.45931601524353</v>
      </c>
      <c r="F919" s="1">
        <f>Tabla1[[#This Row],[tiempo]]/(IF(Tabla1[[#This Row],[tamanho]]=$I$3,$L$3,IF(Tabla1[[#This Row],[tamanho]]=$I$4,$L$4,IF(Tabla1[[#This Row],[tamanho]]=$I$5,$L$5,IF(Tabla1[[#This Row],[tamanho]]=$I$6,$L$6,0))))*IF(C919="8_1",9,25))</f>
        <v>6.8145249099592745E-7</v>
      </c>
    </row>
    <row r="920" spans="1:6" ht="12.75" x14ac:dyDescent="0.2">
      <c r="A920" s="1">
        <v>38</v>
      </c>
      <c r="B920" s="1">
        <v>2</v>
      </c>
      <c r="C920" s="1" t="s">
        <v>5</v>
      </c>
      <c r="D920" s="1" t="s">
        <v>6</v>
      </c>
      <c r="E920" s="1">
        <v>1.6677782535552901</v>
      </c>
      <c r="F920" s="1">
        <f>Tabla1[[#This Row],[tiempo]]/(IF(Tabla1[[#This Row],[tamanho]]=$I$3,$L$3,IF(Tabla1[[#This Row],[tamanho]]=$I$4,$L$4,IF(Tabla1[[#This Row],[tamanho]]=$I$5,$L$5,IF(Tabla1[[#This Row],[tamanho]]=$I$6,$L$6,0))))*IF(C920="8_1",9,25))</f>
        <v>1.009735589408772E-6</v>
      </c>
    </row>
    <row r="921" spans="1:6" ht="12.75" x14ac:dyDescent="0.2">
      <c r="A921" s="1">
        <v>38</v>
      </c>
      <c r="B921" s="1">
        <v>2</v>
      </c>
      <c r="C921" s="1" t="s">
        <v>7</v>
      </c>
      <c r="D921" s="1" t="s">
        <v>6</v>
      </c>
      <c r="E921" s="1">
        <v>1.8600761890411299</v>
      </c>
      <c r="F921" s="1">
        <f>Tabla1[[#This Row],[tiempo]]/(IF(Tabla1[[#This Row],[tamanho]]=$I$3,$L$3,IF(Tabla1[[#This Row],[tamanho]]=$I$4,$L$4,IF(Tabla1[[#This Row],[tamanho]]=$I$5,$L$5,IF(Tabla1[[#This Row],[tamanho]]=$I$6,$L$6,0))))*IF(C921="8_1",9,25))</f>
        <v>4.0541759332202784E-7</v>
      </c>
    </row>
    <row r="922" spans="1:6" ht="12.75" x14ac:dyDescent="0.2">
      <c r="A922" s="1">
        <v>38</v>
      </c>
      <c r="B922" s="1">
        <v>2</v>
      </c>
      <c r="C922" s="1" t="s">
        <v>8</v>
      </c>
      <c r="D922" s="1" t="s">
        <v>6</v>
      </c>
      <c r="E922" s="1">
        <v>1.8745365142822199</v>
      </c>
      <c r="F922" s="1">
        <f>Tabla1[[#This Row],[tiempo]]/(IF(Tabla1[[#This Row],[tamanho]]=$I$3,$L$3,IF(Tabla1[[#This Row],[tamanho]]=$I$4,$L$4,IF(Tabla1[[#This Row],[tamanho]]=$I$5,$L$5,IF(Tabla1[[#This Row],[tamanho]]=$I$6,$L$6,0))))*IF(C922="8_1",9,25))</f>
        <v>4.0856932995111647E-7</v>
      </c>
    </row>
    <row r="923" spans="1:6" ht="12.75" x14ac:dyDescent="0.2">
      <c r="A923" s="1">
        <v>38</v>
      </c>
      <c r="B923" s="1">
        <v>2</v>
      </c>
      <c r="C923" s="1" t="s">
        <v>5</v>
      </c>
      <c r="D923" s="1" t="s">
        <v>9</v>
      </c>
      <c r="E923" s="1">
        <v>1.68537592887878</v>
      </c>
      <c r="F923" s="1">
        <f>Tabla1[[#This Row],[tiempo]]/(IF(Tabla1[[#This Row],[tamanho]]=$I$3,$L$3,IF(Tabla1[[#This Row],[tamanho]]=$I$4,$L$4,IF(Tabla1[[#This Row],[tamanho]]=$I$5,$L$5,IF(Tabla1[[#This Row],[tamanho]]=$I$6,$L$6,0))))*IF(C923="8_1",9,25))</f>
        <v>1.0203898829439644E-6</v>
      </c>
    </row>
    <row r="924" spans="1:6" ht="12.75" x14ac:dyDescent="0.2">
      <c r="A924" s="1">
        <v>38</v>
      </c>
      <c r="B924" s="1">
        <v>2</v>
      </c>
      <c r="C924" s="1" t="s">
        <v>7</v>
      </c>
      <c r="D924" s="1" t="s">
        <v>9</v>
      </c>
      <c r="E924" s="1">
        <v>1.8842418193817101</v>
      </c>
      <c r="F924" s="1">
        <f>Tabla1[[#This Row],[tiempo]]/(IF(Tabla1[[#This Row],[tamanho]]=$I$3,$L$3,IF(Tabla1[[#This Row],[tamanho]]=$I$4,$L$4,IF(Tabla1[[#This Row],[tamanho]]=$I$5,$L$5,IF(Tabla1[[#This Row],[tamanho]]=$I$6,$L$6,0))))*IF(C924="8_1",9,25))</f>
        <v>4.1068467418221466E-7</v>
      </c>
    </row>
    <row r="925" spans="1:6" ht="12.75" x14ac:dyDescent="0.2">
      <c r="A925" s="1">
        <v>38</v>
      </c>
      <c r="B925" s="1">
        <v>2</v>
      </c>
      <c r="C925" s="1" t="s">
        <v>8</v>
      </c>
      <c r="D925" s="1" t="s">
        <v>9</v>
      </c>
      <c r="E925" s="1">
        <v>1.9155406951904199</v>
      </c>
      <c r="F925" s="1">
        <f>Tabla1[[#This Row],[tiempo]]/(IF(Tabla1[[#This Row],[tamanho]]=$I$3,$L$3,IF(Tabla1[[#This Row],[tamanho]]=$I$4,$L$4,IF(Tabla1[[#This Row],[tamanho]]=$I$5,$L$5,IF(Tabla1[[#This Row],[tamanho]]=$I$6,$L$6,0))))*IF(C925="8_1",9,25))</f>
        <v>4.1750649953475222E-7</v>
      </c>
    </row>
    <row r="926" spans="1:6" ht="12.75" x14ac:dyDescent="0.2">
      <c r="A926" s="1">
        <v>38</v>
      </c>
      <c r="B926" s="1">
        <v>3</v>
      </c>
      <c r="C926" s="1" t="s">
        <v>5</v>
      </c>
      <c r="D926" s="1" t="s">
        <v>6</v>
      </c>
      <c r="E926" s="1">
        <v>3.8114638328552202</v>
      </c>
      <c r="F926" s="1">
        <f>Tabla1[[#This Row],[tiempo]]/(IF(Tabla1[[#This Row],[tamanho]]=$I$3,$L$3,IF(Tabla1[[#This Row],[tamanho]]=$I$4,$L$4,IF(Tabla1[[#This Row],[tamanho]]=$I$5,$L$5,IF(Tabla1[[#This Row],[tamanho]]=$I$6,$L$6,0))))*IF(C926="8_1",9,25))</f>
        <v>1.0247862240040794E-6</v>
      </c>
    </row>
    <row r="927" spans="1:6" ht="12.75" x14ac:dyDescent="0.2">
      <c r="A927" s="1">
        <v>38</v>
      </c>
      <c r="B927" s="1">
        <v>3</v>
      </c>
      <c r="C927" s="1" t="s">
        <v>7</v>
      </c>
      <c r="D927" s="1" t="s">
        <v>6</v>
      </c>
      <c r="E927" s="1">
        <v>4.2770519256591797</v>
      </c>
      <c r="F927" s="1">
        <f>Tabla1[[#This Row],[tiempo]]/(IF(Tabla1[[#This Row],[tamanho]]=$I$3,$L$3,IF(Tabla1[[#This Row],[tamanho]]=$I$4,$L$4,IF(Tabla1[[#This Row],[tamanho]]=$I$5,$L$5,IF(Tabla1[[#This Row],[tamanho]]=$I$6,$L$6,0))))*IF(C927="8_1",9,25))</f>
        <v>4.1398871157950987E-7</v>
      </c>
    </row>
    <row r="928" spans="1:6" ht="12.75" x14ac:dyDescent="0.2">
      <c r="A928" s="1">
        <v>38</v>
      </c>
      <c r="B928" s="1">
        <v>3</v>
      </c>
      <c r="C928" s="1" t="s">
        <v>8</v>
      </c>
      <c r="D928" s="1" t="s">
        <v>6</v>
      </c>
      <c r="E928" s="1">
        <v>4.31849932670593</v>
      </c>
      <c r="F928" s="1">
        <f>Tabla1[[#This Row],[tiempo]]/(IF(Tabla1[[#This Row],[tamanho]]=$I$3,$L$3,IF(Tabla1[[#This Row],[tamanho]]=$I$4,$L$4,IF(Tabla1[[#This Row],[tamanho]]=$I$5,$L$5,IF(Tabla1[[#This Row],[tamanho]]=$I$6,$L$6,0))))*IF(C928="8_1",9,25))</f>
        <v>4.1800053010682851E-7</v>
      </c>
    </row>
    <row r="929" spans="1:6" ht="12.75" x14ac:dyDescent="0.2">
      <c r="A929" s="1">
        <v>38</v>
      </c>
      <c r="B929" s="1">
        <v>3</v>
      </c>
      <c r="C929" s="1" t="s">
        <v>5</v>
      </c>
      <c r="D929" s="1" t="s">
        <v>9</v>
      </c>
      <c r="E929" s="1">
        <v>3.8204455375671298</v>
      </c>
      <c r="F929" s="1">
        <f>Tabla1[[#This Row],[tiempo]]/(IF(Tabla1[[#This Row],[tamanho]]=$I$3,$L$3,IF(Tabla1[[#This Row],[tamanho]]=$I$4,$L$4,IF(Tabla1[[#This Row],[tamanho]]=$I$5,$L$5,IF(Tabla1[[#This Row],[tamanho]]=$I$6,$L$6,0))))*IF(C929="8_1",9,25))</f>
        <v>1.027201130103278E-6</v>
      </c>
    </row>
    <row r="930" spans="1:6" ht="12.75" x14ac:dyDescent="0.2">
      <c r="A930" s="1">
        <v>38</v>
      </c>
      <c r="B930" s="1">
        <v>3</v>
      </c>
      <c r="C930" s="1" t="s">
        <v>7</v>
      </c>
      <c r="D930" s="1" t="s">
        <v>9</v>
      </c>
      <c r="E930" s="1">
        <v>4.2940084934234601</v>
      </c>
      <c r="F930" s="1">
        <f>Tabla1[[#This Row],[tiempo]]/(IF(Tabla1[[#This Row],[tamanho]]=$I$3,$L$3,IF(Tabla1[[#This Row],[tamanho]]=$I$4,$L$4,IF(Tabla1[[#This Row],[tamanho]]=$I$5,$L$5,IF(Tabla1[[#This Row],[tamanho]]=$I$6,$L$6,0))))*IF(C930="8_1",9,25))</f>
        <v>4.1562998874040455E-7</v>
      </c>
    </row>
    <row r="931" spans="1:6" ht="12.75" x14ac:dyDescent="0.2">
      <c r="A931" s="1">
        <v>38</v>
      </c>
      <c r="B931" s="1">
        <v>3</v>
      </c>
      <c r="C931" s="1" t="s">
        <v>8</v>
      </c>
      <c r="D931" s="1" t="s">
        <v>9</v>
      </c>
      <c r="E931" s="1">
        <v>4.3410391807556099</v>
      </c>
      <c r="F931" s="1">
        <f>Tabla1[[#This Row],[tiempo]]/(IF(Tabla1[[#This Row],[tamanho]]=$I$3,$L$3,IF(Tabla1[[#This Row],[tamanho]]=$I$4,$L$4,IF(Tabla1[[#This Row],[tamanho]]=$I$5,$L$5,IF(Tabla1[[#This Row],[tamanho]]=$I$6,$L$6,0))))*IF(C931="8_1",9,25))</f>
        <v>4.2018223032917943E-7</v>
      </c>
    </row>
    <row r="932" spans="1:6" ht="12.75" x14ac:dyDescent="0.2">
      <c r="A932" s="1">
        <v>38</v>
      </c>
      <c r="B932" s="1">
        <v>4</v>
      </c>
      <c r="C932" s="1" t="s">
        <v>5</v>
      </c>
      <c r="D932" s="1" t="s">
        <v>6</v>
      </c>
      <c r="E932" s="1">
        <v>6.80328369140625</v>
      </c>
      <c r="F932" s="1">
        <f>Tabla1[[#This Row],[tiempo]]/(IF(Tabla1[[#This Row],[tamanho]]=$I$3,$L$3,IF(Tabla1[[#This Row],[tamanho]]=$I$4,$L$4,IF(Tabla1[[#This Row],[tamanho]]=$I$5,$L$5,IF(Tabla1[[#This Row],[tamanho]]=$I$6,$L$6,0))))*IF(C932="8_1",9,25))</f>
        <v>1.0273407558222105E-6</v>
      </c>
    </row>
    <row r="933" spans="1:6" ht="12.75" x14ac:dyDescent="0.2">
      <c r="A933" s="1">
        <v>38</v>
      </c>
      <c r="B933" s="1">
        <v>4</v>
      </c>
      <c r="C933" s="1" t="s">
        <v>7</v>
      </c>
      <c r="D933" s="1" t="s">
        <v>6</v>
      </c>
      <c r="E933" s="1">
        <v>7.6147892475128103</v>
      </c>
      <c r="F933" s="1">
        <f>Tabla1[[#This Row],[tiempo]]/(IF(Tabla1[[#This Row],[tamanho]]=$I$3,$L$3,IF(Tabla1[[#This Row],[tamanho]]=$I$4,$L$4,IF(Tabla1[[#This Row],[tamanho]]=$I$5,$L$5,IF(Tabla1[[#This Row],[tamanho]]=$I$6,$L$6,0))))*IF(C933="8_1",9,25))</f>
        <v>4.1395804298230969E-7</v>
      </c>
    </row>
    <row r="934" spans="1:6" ht="12.75" x14ac:dyDescent="0.2">
      <c r="A934" s="1">
        <v>38</v>
      </c>
      <c r="B934" s="1">
        <v>4</v>
      </c>
      <c r="C934" s="1" t="s">
        <v>8</v>
      </c>
      <c r="D934" s="1" t="s">
        <v>6</v>
      </c>
      <c r="E934" s="1">
        <v>7.6247911453246999</v>
      </c>
      <c r="F934" s="1">
        <f>Tabla1[[#This Row],[tiempo]]/(IF(Tabla1[[#This Row],[tamanho]]=$I$3,$L$3,IF(Tabla1[[#This Row],[tamanho]]=$I$4,$L$4,IF(Tabla1[[#This Row],[tamanho]]=$I$5,$L$5,IF(Tabla1[[#This Row],[tamanho]]=$I$6,$L$6,0))))*IF(C934="8_1",9,25))</f>
        <v>4.1450176992073691E-7</v>
      </c>
    </row>
    <row r="935" spans="1:6" ht="12.75" x14ac:dyDescent="0.2">
      <c r="A935" s="1">
        <v>38</v>
      </c>
      <c r="B935" s="1">
        <v>4</v>
      </c>
      <c r="C935" s="1" t="s">
        <v>5</v>
      </c>
      <c r="D935" s="1" t="s">
        <v>9</v>
      </c>
      <c r="E935" s="1">
        <v>6.7980709075927699</v>
      </c>
      <c r="F935" s="1">
        <f>Tabla1[[#This Row],[tiempo]]/(IF(Tabla1[[#This Row],[tamanho]]=$I$3,$L$3,IF(Tabla1[[#This Row],[tamanho]]=$I$4,$L$4,IF(Tabla1[[#This Row],[tamanho]]=$I$5,$L$5,IF(Tabla1[[#This Row],[tamanho]]=$I$6,$L$6,0))))*IF(C935="8_1",9,25))</f>
        <v>1.0265535910491698E-6</v>
      </c>
    </row>
    <row r="936" spans="1:6" ht="12.75" x14ac:dyDescent="0.2">
      <c r="A936" s="1">
        <v>38</v>
      </c>
      <c r="B936" s="1">
        <v>4</v>
      </c>
      <c r="C936" s="1" t="s">
        <v>7</v>
      </c>
      <c r="D936" s="1" t="s">
        <v>9</v>
      </c>
      <c r="E936" s="1">
        <v>7.74690818786621</v>
      </c>
      <c r="F936" s="1">
        <f>Tabla1[[#This Row],[tiempo]]/(IF(Tabla1[[#This Row],[tamanho]]=$I$3,$L$3,IF(Tabla1[[#This Row],[tamanho]]=$I$4,$L$4,IF(Tabla1[[#This Row],[tamanho]]=$I$5,$L$5,IF(Tabla1[[#This Row],[tamanho]]=$I$6,$L$6,0))))*IF(C936="8_1",9,25))</f>
        <v>4.2114034261160717E-7</v>
      </c>
    </row>
    <row r="937" spans="1:6" ht="12.75" x14ac:dyDescent="0.2">
      <c r="A937" s="1">
        <v>38</v>
      </c>
      <c r="B937" s="1">
        <v>4</v>
      </c>
      <c r="C937" s="1" t="s">
        <v>8</v>
      </c>
      <c r="D937" s="1" t="s">
        <v>9</v>
      </c>
      <c r="E937" s="1">
        <v>7.9402143955230704</v>
      </c>
      <c r="F937" s="1">
        <f>Tabla1[[#This Row],[tiempo]]/(IF(Tabla1[[#This Row],[tamanho]]=$I$3,$L$3,IF(Tabla1[[#This Row],[tamanho]]=$I$4,$L$4,IF(Tabla1[[#This Row],[tamanho]]=$I$5,$L$5,IF(Tabla1[[#This Row],[tamanho]]=$I$6,$L$6,0))))*IF(C937="8_1",9,25))</f>
        <v>4.3164892752669234E-7</v>
      </c>
    </row>
    <row r="938" spans="1:6" ht="12.75" x14ac:dyDescent="0.2">
      <c r="A938" s="1">
        <v>39</v>
      </c>
      <c r="B938" s="1">
        <v>1</v>
      </c>
      <c r="C938" s="1" t="s">
        <v>5</v>
      </c>
      <c r="D938" s="1" t="s">
        <v>6</v>
      </c>
      <c r="E938" s="1">
        <v>0.41390228271484297</v>
      </c>
      <c r="F938" s="1">
        <f>Tabla1[[#This Row],[tiempo]]/(IF(Tabla1[[#This Row],[tamanho]]=$I$3,$L$3,IF(Tabla1[[#This Row],[tamanho]]=$I$4,$L$4,IF(Tabla1[[#This Row],[tamanho]]=$I$5,$L$5,IF(Tabla1[[#This Row],[tamanho]]=$I$6,$L$6,0))))*IF(C938="8_1",9,25))</f>
        <v>1.7057654583981098E-6</v>
      </c>
    </row>
    <row r="939" spans="1:6" ht="12.75" x14ac:dyDescent="0.2">
      <c r="A939" s="1">
        <v>39</v>
      </c>
      <c r="B939" s="1">
        <v>1</v>
      </c>
      <c r="C939" s="1" t="s">
        <v>7</v>
      </c>
      <c r="D939" s="1" t="s">
        <v>6</v>
      </c>
      <c r="E939" s="1">
        <v>0.46484422683715798</v>
      </c>
      <c r="F939" s="1">
        <f>Tabla1[[#This Row],[tiempo]]/(IF(Tabla1[[#This Row],[tamanho]]=$I$3,$L$3,IF(Tabla1[[#This Row],[tamanho]]=$I$4,$L$4,IF(Tabla1[[#This Row],[tamanho]]=$I$5,$L$5,IF(Tabla1[[#This Row],[tamanho]]=$I$6,$L$6,0))))*IF(C939="8_1",9,25))</f>
        <v>6.89654281127789E-7</v>
      </c>
    </row>
    <row r="940" spans="1:6" ht="12.75" x14ac:dyDescent="0.2">
      <c r="A940" s="1">
        <v>39</v>
      </c>
      <c r="B940" s="1">
        <v>1</v>
      </c>
      <c r="C940" s="1" t="s">
        <v>8</v>
      </c>
      <c r="D940" s="1" t="s">
        <v>6</v>
      </c>
      <c r="E940" s="1">
        <v>0.47344446182250899</v>
      </c>
      <c r="F940" s="1">
        <f>Tabla1[[#This Row],[tiempo]]/(IF(Tabla1[[#This Row],[tamanho]]=$I$3,$L$3,IF(Tabla1[[#This Row],[tamanho]]=$I$4,$L$4,IF(Tabla1[[#This Row],[tamanho]]=$I$5,$L$5,IF(Tabla1[[#This Row],[tamanho]]=$I$6,$L$6,0))))*IF(C940="8_1",9,25))</f>
        <v>7.0241380041171913E-7</v>
      </c>
    </row>
    <row r="941" spans="1:6" ht="12.75" x14ac:dyDescent="0.2">
      <c r="A941" s="1">
        <v>39</v>
      </c>
      <c r="B941" s="1">
        <v>1</v>
      </c>
      <c r="C941" s="1" t="s">
        <v>5</v>
      </c>
      <c r="D941" s="1" t="s">
        <v>9</v>
      </c>
      <c r="E941" s="1">
        <v>0.41005039215087802</v>
      </c>
      <c r="F941" s="1">
        <f>Tabla1[[#This Row],[tiempo]]/(IF(Tabla1[[#This Row],[tamanho]]=$I$3,$L$3,IF(Tabla1[[#This Row],[tamanho]]=$I$4,$L$4,IF(Tabla1[[#This Row],[tamanho]]=$I$5,$L$5,IF(Tabla1[[#This Row],[tamanho]]=$I$6,$L$6,0))))*IF(C941="8_1",9,25))</f>
        <v>1.6898911273109636E-6</v>
      </c>
    </row>
    <row r="942" spans="1:6" ht="12.75" x14ac:dyDescent="0.2">
      <c r="A942" s="1">
        <v>39</v>
      </c>
      <c r="B942" s="1">
        <v>1</v>
      </c>
      <c r="C942" s="1" t="s">
        <v>7</v>
      </c>
      <c r="D942" s="1" t="s">
        <v>9</v>
      </c>
      <c r="E942" s="1">
        <v>0.46639776229858398</v>
      </c>
      <c r="F942" s="1">
        <f>Tabla1[[#This Row],[tiempo]]/(IF(Tabla1[[#This Row],[tamanho]]=$I$3,$L$3,IF(Tabla1[[#This Row],[tamanho]]=$I$4,$L$4,IF(Tabla1[[#This Row],[tamanho]]=$I$5,$L$5,IF(Tabla1[[#This Row],[tamanho]]=$I$6,$L$6,0))))*IF(C942="8_1",9,25))</f>
        <v>6.9195914439165313E-7</v>
      </c>
    </row>
    <row r="943" spans="1:6" ht="12.75" x14ac:dyDescent="0.2">
      <c r="A943" s="1">
        <v>39</v>
      </c>
      <c r="B943" s="1">
        <v>1</v>
      </c>
      <c r="C943" s="1" t="s">
        <v>8</v>
      </c>
      <c r="D943" s="1" t="s">
        <v>9</v>
      </c>
      <c r="E943" s="1">
        <v>0.46910953521728499</v>
      </c>
      <c r="F943" s="1">
        <f>Tabla1[[#This Row],[tiempo]]/(IF(Tabla1[[#This Row],[tamanho]]=$I$3,$L$3,IF(Tabla1[[#This Row],[tamanho]]=$I$4,$L$4,IF(Tabla1[[#This Row],[tamanho]]=$I$5,$L$5,IF(Tabla1[[#This Row],[tamanho]]=$I$6,$L$6,0))))*IF(C943="8_1",9,25))</f>
        <v>6.9598239711774041E-7</v>
      </c>
    </row>
    <row r="944" spans="1:6" ht="12.75" x14ac:dyDescent="0.2">
      <c r="A944" s="1">
        <v>39</v>
      </c>
      <c r="B944" s="1">
        <v>2</v>
      </c>
      <c r="C944" s="1" t="s">
        <v>5</v>
      </c>
      <c r="D944" s="1" t="s">
        <v>6</v>
      </c>
      <c r="E944" s="1">
        <v>1.6757164001464799</v>
      </c>
      <c r="F944" s="1">
        <f>Tabla1[[#This Row],[tiempo]]/(IF(Tabla1[[#This Row],[tamanho]]=$I$3,$L$3,IF(Tabla1[[#This Row],[tamanho]]=$I$4,$L$4,IF(Tabla1[[#This Row],[tamanho]]=$I$5,$L$5,IF(Tabla1[[#This Row],[tamanho]]=$I$6,$L$6,0))))*IF(C944="8_1",9,25))</f>
        <v>1.0145416414783332E-6</v>
      </c>
    </row>
    <row r="945" spans="1:6" ht="12.75" x14ac:dyDescent="0.2">
      <c r="A945" s="1">
        <v>39</v>
      </c>
      <c r="B945" s="1">
        <v>2</v>
      </c>
      <c r="C945" s="1" t="s">
        <v>7</v>
      </c>
      <c r="D945" s="1" t="s">
        <v>6</v>
      </c>
      <c r="E945" s="1">
        <v>1.87881135940551</v>
      </c>
      <c r="F945" s="1">
        <f>Tabla1[[#This Row],[tiempo]]/(IF(Tabla1[[#This Row],[tamanho]]=$I$3,$L$3,IF(Tabla1[[#This Row],[tamanho]]=$I$4,$L$4,IF(Tabla1[[#This Row],[tamanho]]=$I$5,$L$5,IF(Tabla1[[#This Row],[tamanho]]=$I$6,$L$6,0))))*IF(C945="8_1",9,25))</f>
        <v>4.0950106459291205E-7</v>
      </c>
    </row>
    <row r="946" spans="1:6" ht="12.75" x14ac:dyDescent="0.2">
      <c r="A946" s="1">
        <v>39</v>
      </c>
      <c r="B946" s="1">
        <v>2</v>
      </c>
      <c r="C946" s="1" t="s">
        <v>8</v>
      </c>
      <c r="D946" s="1" t="s">
        <v>6</v>
      </c>
      <c r="E946" s="1">
        <v>1.88689589500427</v>
      </c>
      <c r="F946" s="1">
        <f>Tabla1[[#This Row],[tiempo]]/(IF(Tabla1[[#This Row],[tamanho]]=$I$3,$L$3,IF(Tabla1[[#This Row],[tamanho]]=$I$4,$L$4,IF(Tabla1[[#This Row],[tamanho]]=$I$5,$L$5,IF(Tabla1[[#This Row],[tamanho]]=$I$6,$L$6,0))))*IF(C946="8_1",9,25))</f>
        <v>4.1126314992301088E-7</v>
      </c>
    </row>
    <row r="947" spans="1:6" ht="12.75" x14ac:dyDescent="0.2">
      <c r="A947" s="1">
        <v>39</v>
      </c>
      <c r="B947" s="1">
        <v>2</v>
      </c>
      <c r="C947" s="1" t="s">
        <v>5</v>
      </c>
      <c r="D947" s="1" t="s">
        <v>9</v>
      </c>
      <c r="E947" s="1">
        <v>1.6749737262725799</v>
      </c>
      <c r="F947" s="1">
        <f>Tabla1[[#This Row],[tiempo]]/(IF(Tabla1[[#This Row],[tamanho]]=$I$3,$L$3,IF(Tabla1[[#This Row],[tamanho]]=$I$4,$L$4,IF(Tabla1[[#This Row],[tamanho]]=$I$5,$L$5,IF(Tabla1[[#This Row],[tamanho]]=$I$6,$L$6,0))))*IF(C947="8_1",9,25))</f>
        <v>1.0140919988233805E-6</v>
      </c>
    </row>
    <row r="948" spans="1:6" ht="12.75" x14ac:dyDescent="0.2">
      <c r="A948" s="1">
        <v>39</v>
      </c>
      <c r="B948" s="1">
        <v>2</v>
      </c>
      <c r="C948" s="1" t="s">
        <v>7</v>
      </c>
      <c r="D948" s="1" t="s">
        <v>9</v>
      </c>
      <c r="E948" s="1">
        <v>1.86534476280212</v>
      </c>
      <c r="F948" s="1">
        <f>Tabla1[[#This Row],[tiempo]]/(IF(Tabla1[[#This Row],[tamanho]]=$I$3,$L$3,IF(Tabla1[[#This Row],[tamanho]]=$I$4,$L$4,IF(Tabla1[[#This Row],[tamanho]]=$I$5,$L$5,IF(Tabla1[[#This Row],[tamanho]]=$I$6,$L$6,0))))*IF(C948="8_1",9,25))</f>
        <v>4.0656591859332835E-7</v>
      </c>
    </row>
    <row r="949" spans="1:6" ht="12.75" x14ac:dyDescent="0.2">
      <c r="A949" s="1">
        <v>39</v>
      </c>
      <c r="B949" s="1">
        <v>2</v>
      </c>
      <c r="C949" s="1" t="s">
        <v>8</v>
      </c>
      <c r="D949" s="1" t="s">
        <v>9</v>
      </c>
      <c r="E949" s="1">
        <v>1.8931417465209901</v>
      </c>
      <c r="F949" s="1">
        <f>Tabla1[[#This Row],[tiempo]]/(IF(Tabla1[[#This Row],[tamanho]]=$I$3,$L$3,IF(Tabla1[[#This Row],[tamanho]]=$I$4,$L$4,IF(Tabla1[[#This Row],[tamanho]]=$I$5,$L$5,IF(Tabla1[[#This Row],[tamanho]]=$I$6,$L$6,0))))*IF(C949="8_1",9,25))</f>
        <v>4.1262448023037893E-7</v>
      </c>
    </row>
    <row r="950" spans="1:6" ht="12.75" x14ac:dyDescent="0.2">
      <c r="A950" s="1">
        <v>39</v>
      </c>
      <c r="B950" s="1">
        <v>3</v>
      </c>
      <c r="C950" s="1" t="s">
        <v>5</v>
      </c>
      <c r="D950" s="1" t="s">
        <v>6</v>
      </c>
      <c r="E950" s="1">
        <v>3.78531694412231</v>
      </c>
      <c r="F950" s="1">
        <f>Tabla1[[#This Row],[tiempo]]/(IF(Tabla1[[#This Row],[tamanho]]=$I$3,$L$3,IF(Tabla1[[#This Row],[tamanho]]=$I$4,$L$4,IF(Tabla1[[#This Row],[tamanho]]=$I$5,$L$5,IF(Tabla1[[#This Row],[tamanho]]=$I$6,$L$6,0))))*IF(C950="8_1",9,25))</f>
        <v>1.0177561241398018E-6</v>
      </c>
    </row>
    <row r="951" spans="1:6" ht="12.75" x14ac:dyDescent="0.2">
      <c r="A951" s="1">
        <v>39</v>
      </c>
      <c r="B951" s="1">
        <v>3</v>
      </c>
      <c r="C951" s="1" t="s">
        <v>7</v>
      </c>
      <c r="D951" s="1" t="s">
        <v>6</v>
      </c>
      <c r="E951" s="1">
        <v>4.2549722194671604</v>
      </c>
      <c r="F951" s="1">
        <f>Tabla1[[#This Row],[tiempo]]/(IF(Tabla1[[#This Row],[tamanho]]=$I$3,$L$3,IF(Tabla1[[#This Row],[tamanho]]=$I$4,$L$4,IF(Tabla1[[#This Row],[tamanho]]=$I$5,$L$5,IF(Tabla1[[#This Row],[tamanho]]=$I$6,$L$6,0))))*IF(C951="8_1",9,25))</f>
        <v>4.1185155045138553E-7</v>
      </c>
    </row>
    <row r="952" spans="1:6" ht="12.75" x14ac:dyDescent="0.2">
      <c r="A952" s="1">
        <v>39</v>
      </c>
      <c r="B952" s="1">
        <v>3</v>
      </c>
      <c r="C952" s="1" t="s">
        <v>8</v>
      </c>
      <c r="D952" s="1" t="s">
        <v>6</v>
      </c>
      <c r="E952" s="1">
        <v>4.3131563663482604</v>
      </c>
      <c r="F952" s="1">
        <f>Tabla1[[#This Row],[tiempo]]/(IF(Tabla1[[#This Row],[tamanho]]=$I$3,$L$3,IF(Tabla1[[#This Row],[tamanho]]=$I$4,$L$4,IF(Tabla1[[#This Row],[tamanho]]=$I$5,$L$5,IF(Tabla1[[#This Row],[tamanho]]=$I$6,$L$6,0))))*IF(C952="8_1",9,25))</f>
        <v>4.1748336891427386E-7</v>
      </c>
    </row>
    <row r="953" spans="1:6" ht="12.75" x14ac:dyDescent="0.2">
      <c r="A953" s="1">
        <v>39</v>
      </c>
      <c r="B953" s="1">
        <v>3</v>
      </c>
      <c r="C953" s="1" t="s">
        <v>5</v>
      </c>
      <c r="D953" s="1" t="s">
        <v>9</v>
      </c>
      <c r="E953" s="1">
        <v>3.7925844192504798</v>
      </c>
      <c r="F953" s="1">
        <f>Tabla1[[#This Row],[tiempo]]/(IF(Tabla1[[#This Row],[tamanho]]=$I$3,$L$3,IF(Tabla1[[#This Row],[tamanho]]=$I$4,$L$4,IF(Tabla1[[#This Row],[tamanho]]=$I$5,$L$5,IF(Tabla1[[#This Row],[tamanho]]=$I$6,$L$6,0))))*IF(C953="8_1",9,25))</f>
        <v>1.0197101262558502E-6</v>
      </c>
    </row>
    <row r="954" spans="1:6" ht="12.75" x14ac:dyDescent="0.2">
      <c r="A954" s="1">
        <v>39</v>
      </c>
      <c r="B954" s="1">
        <v>3</v>
      </c>
      <c r="C954" s="1" t="s">
        <v>7</v>
      </c>
      <c r="D954" s="1" t="s">
        <v>9</v>
      </c>
      <c r="E954" s="1">
        <v>4.2361290454864502</v>
      </c>
      <c r="F954" s="1">
        <f>Tabla1[[#This Row],[tiempo]]/(IF(Tabla1[[#This Row],[tamanho]]=$I$3,$L$3,IF(Tabla1[[#This Row],[tamanho]]=$I$4,$L$4,IF(Tabla1[[#This Row],[tamanho]]=$I$5,$L$5,IF(Tabla1[[#This Row],[tamanho]]=$I$6,$L$6,0))))*IF(C954="8_1",9,25))</f>
        <v>4.1002766300415969E-7</v>
      </c>
    </row>
    <row r="955" spans="1:6" ht="12.75" x14ac:dyDescent="0.2">
      <c r="A955" s="1">
        <v>39</v>
      </c>
      <c r="B955" s="1">
        <v>3</v>
      </c>
      <c r="C955" s="1" t="s">
        <v>8</v>
      </c>
      <c r="D955" s="1" t="s">
        <v>9</v>
      </c>
      <c r="E955" s="1">
        <v>4.2781181335449201</v>
      </c>
      <c r="F955" s="1">
        <f>Tabla1[[#This Row],[tiempo]]/(IF(Tabla1[[#This Row],[tamanho]]=$I$3,$L$3,IF(Tabla1[[#This Row],[tamanho]]=$I$4,$L$4,IF(Tabla1[[#This Row],[tamanho]]=$I$5,$L$5,IF(Tabla1[[#This Row],[tamanho]]=$I$6,$L$6,0))))*IF(C955="8_1",9,25))</f>
        <v>4.1409191304551159E-7</v>
      </c>
    </row>
    <row r="956" spans="1:6" ht="12.75" x14ac:dyDescent="0.2">
      <c r="A956" s="1">
        <v>39</v>
      </c>
      <c r="B956" s="1">
        <v>4</v>
      </c>
      <c r="C956" s="1" t="s">
        <v>5</v>
      </c>
      <c r="D956" s="1" t="s">
        <v>6</v>
      </c>
      <c r="E956" s="1">
        <v>6.8310899734496999</v>
      </c>
      <c r="F956" s="1">
        <f>Tabla1[[#This Row],[tiempo]]/(IF(Tabla1[[#This Row],[tamanho]]=$I$3,$L$3,IF(Tabla1[[#This Row],[tamanho]]=$I$4,$L$4,IF(Tabla1[[#This Row],[tamanho]]=$I$5,$L$5,IF(Tabla1[[#This Row],[tamanho]]=$I$6,$L$6,0))))*IF(C956="8_1",9,25))</f>
        <v>1.0315396880006831E-6</v>
      </c>
    </row>
    <row r="957" spans="1:6" ht="12.75" x14ac:dyDescent="0.2">
      <c r="A957" s="1">
        <v>39</v>
      </c>
      <c r="B957" s="1">
        <v>4</v>
      </c>
      <c r="C957" s="1" t="s">
        <v>7</v>
      </c>
      <c r="D957" s="1" t="s">
        <v>6</v>
      </c>
      <c r="E957" s="1">
        <v>7.77369904518127</v>
      </c>
      <c r="F957" s="1">
        <f>Tabla1[[#This Row],[tiempo]]/(IF(Tabla1[[#This Row],[tamanho]]=$I$3,$L$3,IF(Tabla1[[#This Row],[tamanho]]=$I$4,$L$4,IF(Tabla1[[#This Row],[tamanho]]=$I$5,$L$5,IF(Tabla1[[#This Row],[tamanho]]=$I$6,$L$6,0))))*IF(C957="8_1",9,25))</f>
        <v>4.2259675729407298E-7</v>
      </c>
    </row>
    <row r="958" spans="1:6" ht="12.75" x14ac:dyDescent="0.2">
      <c r="A958" s="1">
        <v>39</v>
      </c>
      <c r="B958" s="1">
        <v>4</v>
      </c>
      <c r="C958" s="1" t="s">
        <v>8</v>
      </c>
      <c r="D958" s="1" t="s">
        <v>6</v>
      </c>
      <c r="E958" s="1">
        <v>7.6450674533843896</v>
      </c>
      <c r="F958" s="1">
        <f>Tabla1[[#This Row],[tiempo]]/(IF(Tabla1[[#This Row],[tamanho]]=$I$3,$L$3,IF(Tabla1[[#This Row],[tamanho]]=$I$4,$L$4,IF(Tabla1[[#This Row],[tamanho]]=$I$5,$L$5,IF(Tabla1[[#This Row],[tamanho]]=$I$6,$L$6,0))))*IF(C958="8_1",9,25))</f>
        <v>4.1560403822133858E-7</v>
      </c>
    </row>
    <row r="959" spans="1:6" ht="12.75" x14ac:dyDescent="0.2">
      <c r="A959" s="1">
        <v>39</v>
      </c>
      <c r="B959" s="1">
        <v>4</v>
      </c>
      <c r="C959" s="1" t="s">
        <v>5</v>
      </c>
      <c r="D959" s="1" t="s">
        <v>9</v>
      </c>
      <c r="E959" s="1">
        <v>6.8949260711669904</v>
      </c>
      <c r="F959" s="1">
        <f>Tabla1[[#This Row],[tiempo]]/(IF(Tabla1[[#This Row],[tamanho]]=$I$3,$L$3,IF(Tabla1[[#This Row],[tamanho]]=$I$4,$L$4,IF(Tabla1[[#This Row],[tamanho]]=$I$5,$L$5,IF(Tabla1[[#This Row],[tamanho]]=$I$6,$L$6,0))))*IF(C959="8_1",9,25))</f>
        <v>1.0411793602313829E-6</v>
      </c>
    </row>
    <row r="960" spans="1:6" ht="12.75" x14ac:dyDescent="0.2">
      <c r="A960" s="1">
        <v>39</v>
      </c>
      <c r="B960" s="1">
        <v>4</v>
      </c>
      <c r="C960" s="1" t="s">
        <v>7</v>
      </c>
      <c r="D960" s="1" t="s">
        <v>9</v>
      </c>
      <c r="E960" s="1">
        <v>7.72159576416015</v>
      </c>
      <c r="F960" s="1">
        <f>Tabla1[[#This Row],[tiempo]]/(IF(Tabla1[[#This Row],[tamanho]]=$I$3,$L$3,IF(Tabla1[[#This Row],[tamanho]]=$I$4,$L$4,IF(Tabla1[[#This Row],[tamanho]]=$I$5,$L$5,IF(Tabla1[[#This Row],[tamanho]]=$I$6,$L$6,0))))*IF(C960="8_1",9,25))</f>
        <v>4.1976429909419507E-7</v>
      </c>
    </row>
    <row r="961" spans="1:6" ht="12.75" x14ac:dyDescent="0.2">
      <c r="A961" s="1">
        <v>39</v>
      </c>
      <c r="B961" s="1">
        <v>4</v>
      </c>
      <c r="C961" s="1" t="s">
        <v>8</v>
      </c>
      <c r="D961" s="1" t="s">
        <v>9</v>
      </c>
      <c r="E961" s="1">
        <v>7.7463207244873002</v>
      </c>
      <c r="F961" s="1">
        <f>Tabla1[[#This Row],[tiempo]]/(IF(Tabla1[[#This Row],[tamanho]]=$I$3,$L$3,IF(Tabla1[[#This Row],[tamanho]]=$I$4,$L$4,IF(Tabla1[[#This Row],[tamanho]]=$I$5,$L$5,IF(Tabla1[[#This Row],[tamanho]]=$I$6,$L$6,0))))*IF(C961="8_1",9,25))</f>
        <v>4.2110840670599606E-7</v>
      </c>
    </row>
    <row r="962" spans="1:6" ht="12.75" x14ac:dyDescent="0.2">
      <c r="A962" s="1">
        <v>40</v>
      </c>
      <c r="B962" s="1">
        <v>1</v>
      </c>
      <c r="C962" s="1" t="s">
        <v>5</v>
      </c>
      <c r="D962" s="1" t="s">
        <v>6</v>
      </c>
      <c r="E962" s="1">
        <v>0.41554331779479903</v>
      </c>
      <c r="F962" s="1">
        <f>Tabla1[[#This Row],[tiempo]]/(IF(Tabla1[[#This Row],[tamanho]]=$I$3,$L$3,IF(Tabla1[[#This Row],[tamanho]]=$I$4,$L$4,IF(Tabla1[[#This Row],[tamanho]]=$I$5,$L$5,IF(Tabla1[[#This Row],[tamanho]]=$I$6,$L$6,0))))*IF(C962="8_1",9,25))</f>
        <v>1.7125284579569627E-6</v>
      </c>
    </row>
    <row r="963" spans="1:6" ht="12.75" x14ac:dyDescent="0.2">
      <c r="A963" s="1">
        <v>40</v>
      </c>
      <c r="B963" s="1">
        <v>1</v>
      </c>
      <c r="C963" s="1" t="s">
        <v>7</v>
      </c>
      <c r="D963" s="1" t="s">
        <v>6</v>
      </c>
      <c r="E963" s="1">
        <v>0.46187138557433999</v>
      </c>
      <c r="F963" s="1">
        <f>Tabla1[[#This Row],[tiempo]]/(IF(Tabla1[[#This Row],[tamanho]]=$I$3,$L$3,IF(Tabla1[[#This Row],[tamanho]]=$I$4,$L$4,IF(Tabla1[[#This Row],[tamanho]]=$I$5,$L$5,IF(Tabla1[[#This Row],[tamanho]]=$I$6,$L$6,0))))*IF(C963="8_1",9,25))</f>
        <v>6.8524370101159455E-7</v>
      </c>
    </row>
    <row r="964" spans="1:6" ht="12.75" x14ac:dyDescent="0.2">
      <c r="A964" s="1">
        <v>40</v>
      </c>
      <c r="B964" s="1">
        <v>1</v>
      </c>
      <c r="C964" s="1" t="s">
        <v>8</v>
      </c>
      <c r="D964" s="1" t="s">
        <v>6</v>
      </c>
      <c r="E964" s="1">
        <v>0.47481727600097601</v>
      </c>
      <c r="F964" s="1">
        <f>Tabla1[[#This Row],[tiempo]]/(IF(Tabla1[[#This Row],[tamanho]]=$I$3,$L$3,IF(Tabla1[[#This Row],[tamanho]]=$I$4,$L$4,IF(Tabla1[[#This Row],[tamanho]]=$I$5,$L$5,IF(Tabla1[[#This Row],[tamanho]]=$I$6,$L$6,0))))*IF(C964="8_1",9,25))</f>
        <v>7.0445054115348241E-7</v>
      </c>
    </row>
    <row r="965" spans="1:6" ht="12.75" x14ac:dyDescent="0.2">
      <c r="A965" s="1">
        <v>40</v>
      </c>
      <c r="B965" s="1">
        <v>1</v>
      </c>
      <c r="C965" s="1" t="s">
        <v>5</v>
      </c>
      <c r="D965" s="1" t="s">
        <v>9</v>
      </c>
      <c r="E965" s="1">
        <v>0.41883230209350503</v>
      </c>
      <c r="F965" s="1">
        <f>Tabla1[[#This Row],[tiempo]]/(IF(Tabla1[[#This Row],[tamanho]]=$I$3,$L$3,IF(Tabla1[[#This Row],[tamanho]]=$I$4,$L$4,IF(Tabla1[[#This Row],[tamanho]]=$I$5,$L$5,IF(Tabla1[[#This Row],[tamanho]]=$I$6,$L$6,0))))*IF(C965="8_1",9,25))</f>
        <v>1.7260829514793179E-6</v>
      </c>
    </row>
    <row r="966" spans="1:6" ht="12.75" x14ac:dyDescent="0.2">
      <c r="A966" s="1">
        <v>40</v>
      </c>
      <c r="B966" s="1">
        <v>1</v>
      </c>
      <c r="C966" s="1" t="s">
        <v>7</v>
      </c>
      <c r="D966" s="1" t="s">
        <v>9</v>
      </c>
      <c r="E966" s="1">
        <v>0.46643710136413502</v>
      </c>
      <c r="F966" s="1">
        <f>Tabla1[[#This Row],[tiempo]]/(IF(Tabla1[[#This Row],[tamanho]]=$I$3,$L$3,IF(Tabla1[[#This Row],[tamanho]]=$I$4,$L$4,IF(Tabla1[[#This Row],[tamanho]]=$I$5,$L$5,IF(Tabla1[[#This Row],[tamanho]]=$I$6,$L$6,0))))*IF(C966="8_1",9,25))</f>
        <v>6.9201750879290086E-7</v>
      </c>
    </row>
    <row r="967" spans="1:6" ht="12.75" x14ac:dyDescent="0.2">
      <c r="A967" s="1">
        <v>40</v>
      </c>
      <c r="B967" s="1">
        <v>1</v>
      </c>
      <c r="C967" s="1" t="s">
        <v>8</v>
      </c>
      <c r="D967" s="1" t="s">
        <v>9</v>
      </c>
      <c r="E967" s="1">
        <v>0.46034955978393499</v>
      </c>
      <c r="F967" s="1">
        <f>Tabla1[[#This Row],[tiempo]]/(IF(Tabla1[[#This Row],[tamanho]]=$I$3,$L$3,IF(Tabla1[[#This Row],[tamanho]]=$I$4,$L$4,IF(Tabla1[[#This Row],[tamanho]]=$I$5,$L$5,IF(Tabla1[[#This Row],[tamanho]]=$I$6,$L$6,0))))*IF(C967="8_1",9,25))</f>
        <v>6.8298588299237416E-7</v>
      </c>
    </row>
    <row r="968" spans="1:6" ht="12.75" x14ac:dyDescent="0.2">
      <c r="A968" s="1">
        <v>40</v>
      </c>
      <c r="B968" s="1">
        <v>2</v>
      </c>
      <c r="C968" s="1" t="s">
        <v>5</v>
      </c>
      <c r="D968" s="1" t="s">
        <v>6</v>
      </c>
      <c r="E968" s="1">
        <v>1.69030332565307</v>
      </c>
      <c r="F968" s="1">
        <f>Tabla1[[#This Row],[tiempo]]/(IF(Tabla1[[#This Row],[tamanho]]=$I$3,$L$3,IF(Tabla1[[#This Row],[tamanho]]=$I$4,$L$4,IF(Tabla1[[#This Row],[tamanho]]=$I$5,$L$5,IF(Tabla1[[#This Row],[tamanho]]=$I$6,$L$6,0))))*IF(C968="8_1",9,25))</f>
        <v>1.0233731140033287E-6</v>
      </c>
    </row>
    <row r="969" spans="1:6" ht="12.75" x14ac:dyDescent="0.2">
      <c r="A969" s="1">
        <v>40</v>
      </c>
      <c r="B969" s="1">
        <v>2</v>
      </c>
      <c r="C969" s="1" t="s">
        <v>7</v>
      </c>
      <c r="D969" s="1" t="s">
        <v>6</v>
      </c>
      <c r="E969" s="1">
        <v>1.8921420574188199</v>
      </c>
      <c r="F969" s="1">
        <f>Tabla1[[#This Row],[tiempo]]/(IF(Tabla1[[#This Row],[tamanho]]=$I$3,$L$3,IF(Tabla1[[#This Row],[tamanho]]=$I$4,$L$4,IF(Tabla1[[#This Row],[tamanho]]=$I$5,$L$5,IF(Tabla1[[#This Row],[tamanho]]=$I$6,$L$6,0))))*IF(C969="8_1",9,25))</f>
        <v>4.124065904728196E-7</v>
      </c>
    </row>
    <row r="970" spans="1:6" ht="12.75" x14ac:dyDescent="0.2">
      <c r="A970" s="1">
        <v>40</v>
      </c>
      <c r="B970" s="1">
        <v>2</v>
      </c>
      <c r="C970" s="1" t="s">
        <v>8</v>
      </c>
      <c r="D970" s="1" t="s">
        <v>6</v>
      </c>
      <c r="E970" s="1">
        <v>1.90494656562805</v>
      </c>
      <c r="F970" s="1">
        <f>Tabla1[[#This Row],[tiempo]]/(IF(Tabla1[[#This Row],[tamanho]]=$I$3,$L$3,IF(Tabla1[[#This Row],[tamanho]]=$I$4,$L$4,IF(Tabla1[[#This Row],[tamanho]]=$I$5,$L$5,IF(Tabla1[[#This Row],[tamanho]]=$I$6,$L$6,0))))*IF(C970="8_1",9,25))</f>
        <v>4.1519742932793887E-7</v>
      </c>
    </row>
    <row r="971" spans="1:6" ht="12.75" x14ac:dyDescent="0.2">
      <c r="A971" s="1">
        <v>40</v>
      </c>
      <c r="B971" s="1">
        <v>2</v>
      </c>
      <c r="C971" s="1" t="s">
        <v>5</v>
      </c>
      <c r="D971" s="1" t="s">
        <v>9</v>
      </c>
      <c r="E971" s="1">
        <v>1.6699078083038299</v>
      </c>
      <c r="F971" s="1">
        <f>Tabla1[[#This Row],[tiempo]]/(IF(Tabla1[[#This Row],[tamanho]]=$I$3,$L$3,IF(Tabla1[[#This Row],[tamanho]]=$I$4,$L$4,IF(Tabla1[[#This Row],[tamanho]]=$I$5,$L$5,IF(Tabla1[[#This Row],[tamanho]]=$I$6,$L$6,0))))*IF(C971="8_1",9,25))</f>
        <v>1.0110249018306191E-6</v>
      </c>
    </row>
    <row r="972" spans="1:6" ht="12.75" x14ac:dyDescent="0.2">
      <c r="A972" s="1">
        <v>40</v>
      </c>
      <c r="B972" s="1">
        <v>2</v>
      </c>
      <c r="C972" s="1" t="s">
        <v>7</v>
      </c>
      <c r="D972" s="1" t="s">
        <v>9</v>
      </c>
      <c r="E972" s="1">
        <v>1.86905789375305</v>
      </c>
      <c r="F972" s="1">
        <f>Tabla1[[#This Row],[tiempo]]/(IF(Tabla1[[#This Row],[tamanho]]=$I$3,$L$3,IF(Tabla1[[#This Row],[tamanho]]=$I$4,$L$4,IF(Tabla1[[#This Row],[tamanho]]=$I$5,$L$5,IF(Tabla1[[#This Row],[tamanho]]=$I$6,$L$6,0))))*IF(C972="8_1",9,25))</f>
        <v>4.0737522340712286E-7</v>
      </c>
    </row>
    <row r="973" spans="1:6" ht="12.75" x14ac:dyDescent="0.2">
      <c r="A973" s="1">
        <v>40</v>
      </c>
      <c r="B973" s="1">
        <v>2</v>
      </c>
      <c r="C973" s="1" t="s">
        <v>8</v>
      </c>
      <c r="D973" s="1" t="s">
        <v>9</v>
      </c>
      <c r="E973" s="1">
        <v>1.90498375892639</v>
      </c>
      <c r="F973" s="1">
        <f>Tabla1[[#This Row],[tiempo]]/(IF(Tabla1[[#This Row],[tamanho]]=$I$3,$L$3,IF(Tabla1[[#This Row],[tamanho]]=$I$4,$L$4,IF(Tabla1[[#This Row],[tamanho]]=$I$5,$L$5,IF(Tabla1[[#This Row],[tamanho]]=$I$6,$L$6,0))))*IF(C973="8_1",9,25))</f>
        <v>4.1520553588700864E-7</v>
      </c>
    </row>
    <row r="974" spans="1:6" ht="12.75" x14ac:dyDescent="0.2">
      <c r="A974" s="1">
        <v>40</v>
      </c>
      <c r="B974" s="1">
        <v>3</v>
      </c>
      <c r="C974" s="1" t="s">
        <v>5</v>
      </c>
      <c r="D974" s="1" t="s">
        <v>6</v>
      </c>
      <c r="E974" s="1">
        <v>3.9147467613220202</v>
      </c>
      <c r="F974" s="1">
        <f>Tabla1[[#This Row],[tiempo]]/(IF(Tabla1[[#This Row],[tamanho]]=$I$3,$L$3,IF(Tabla1[[#This Row],[tamanho]]=$I$4,$L$4,IF(Tabla1[[#This Row],[tamanho]]=$I$5,$L$5,IF(Tabla1[[#This Row],[tamanho]]=$I$6,$L$6,0))))*IF(C974="8_1",9,25))</f>
        <v>1.0525558492475877E-6</v>
      </c>
    </row>
    <row r="975" spans="1:6" ht="12.75" x14ac:dyDescent="0.2">
      <c r="A975" s="1">
        <v>40</v>
      </c>
      <c r="B975" s="1">
        <v>3</v>
      </c>
      <c r="C975" s="1" t="s">
        <v>7</v>
      </c>
      <c r="D975" s="1" t="s">
        <v>6</v>
      </c>
      <c r="E975" s="1">
        <v>4.29172682762146</v>
      </c>
      <c r="F975" s="1">
        <f>Tabla1[[#This Row],[tiempo]]/(IF(Tabla1[[#This Row],[tamanho]]=$I$3,$L$3,IF(Tabla1[[#This Row],[tamanho]]=$I$4,$L$4,IF(Tabla1[[#This Row],[tamanho]]=$I$5,$L$5,IF(Tabla1[[#This Row],[tamanho]]=$I$6,$L$6,0))))*IF(C975="8_1",9,25))</f>
        <v>4.1540913944934069E-7</v>
      </c>
    </row>
    <row r="976" spans="1:6" ht="12.75" x14ac:dyDescent="0.2">
      <c r="A976" s="1">
        <v>40</v>
      </c>
      <c r="B976" s="1">
        <v>3</v>
      </c>
      <c r="C976" s="1" t="s">
        <v>8</v>
      </c>
      <c r="D976" s="1" t="s">
        <v>6</v>
      </c>
      <c r="E976" s="1">
        <v>4.3653130531311</v>
      </c>
      <c r="F976" s="1">
        <f>Tabla1[[#This Row],[tiempo]]/(IF(Tabla1[[#This Row],[tamanho]]=$I$3,$L$3,IF(Tabla1[[#This Row],[tamanho]]=$I$4,$L$4,IF(Tabla1[[#This Row],[tamanho]]=$I$5,$L$5,IF(Tabla1[[#This Row],[tamanho]]=$I$6,$L$6,0))))*IF(C976="8_1",9,25))</f>
        <v>4.2253177139728929E-7</v>
      </c>
    </row>
    <row r="977" spans="1:6" ht="12.75" x14ac:dyDescent="0.2">
      <c r="A977" s="1">
        <v>40</v>
      </c>
      <c r="B977" s="1">
        <v>3</v>
      </c>
      <c r="C977" s="1" t="s">
        <v>5</v>
      </c>
      <c r="D977" s="1" t="s">
        <v>9</v>
      </c>
      <c r="E977" s="1">
        <v>3.8875997066497798</v>
      </c>
      <c r="F977" s="1">
        <f>Tabla1[[#This Row],[tiempo]]/(IF(Tabla1[[#This Row],[tamanho]]=$I$3,$L$3,IF(Tabla1[[#This Row],[tamanho]]=$I$4,$L$4,IF(Tabla1[[#This Row],[tamanho]]=$I$5,$L$5,IF(Tabla1[[#This Row],[tamanho]]=$I$6,$L$6,0))))*IF(C977="8_1",9,25))</f>
        <v>1.0452568353069105E-6</v>
      </c>
    </row>
    <row r="978" spans="1:6" ht="12.75" x14ac:dyDescent="0.2">
      <c r="A978" s="1">
        <v>40</v>
      </c>
      <c r="B978" s="1">
        <v>3</v>
      </c>
      <c r="C978" s="1" t="s">
        <v>7</v>
      </c>
      <c r="D978" s="1" t="s">
        <v>9</v>
      </c>
      <c r="E978" s="1">
        <v>4.2653942108154297</v>
      </c>
      <c r="F978" s="1">
        <f>Tabla1[[#This Row],[tiempo]]/(IF(Tabla1[[#This Row],[tamanho]]=$I$3,$L$3,IF(Tabla1[[#This Row],[tamanho]]=$I$4,$L$4,IF(Tabla1[[#This Row],[tamanho]]=$I$5,$L$5,IF(Tabla1[[#This Row],[tamanho]]=$I$6,$L$6,0))))*IF(C978="8_1",9,25))</f>
        <v>4.1286032631975374E-7</v>
      </c>
    </row>
    <row r="979" spans="1:6" ht="12.75" x14ac:dyDescent="0.2">
      <c r="A979" s="1">
        <v>40</v>
      </c>
      <c r="B979" s="1">
        <v>3</v>
      </c>
      <c r="C979" s="1" t="s">
        <v>8</v>
      </c>
      <c r="D979" s="1" t="s">
        <v>9</v>
      </c>
      <c r="E979" s="1">
        <v>4.3332703113555899</v>
      </c>
      <c r="F979" s="1">
        <f>Tabla1[[#This Row],[tiempo]]/(IF(Tabla1[[#This Row],[tamanho]]=$I$3,$L$3,IF(Tabla1[[#This Row],[tamanho]]=$I$4,$L$4,IF(Tabla1[[#This Row],[tamanho]]=$I$5,$L$5,IF(Tabla1[[#This Row],[tamanho]]=$I$6,$L$6,0))))*IF(C979="8_1",9,25))</f>
        <v>4.1943025810877017E-7</v>
      </c>
    </row>
    <row r="980" spans="1:6" ht="12.75" x14ac:dyDescent="0.2">
      <c r="A980" s="1">
        <v>40</v>
      </c>
      <c r="B980" s="1">
        <v>4</v>
      </c>
      <c r="C980" s="1" t="s">
        <v>5</v>
      </c>
      <c r="D980" s="1" t="s">
        <v>6</v>
      </c>
      <c r="E980" s="1">
        <v>6.86950588226318</v>
      </c>
      <c r="F980" s="1">
        <f>Tabla1[[#This Row],[tiempo]]/(IF(Tabla1[[#This Row],[tamanho]]=$I$3,$L$3,IF(Tabla1[[#This Row],[tamanho]]=$I$4,$L$4,IF(Tabla1[[#This Row],[tamanho]]=$I$5,$L$5,IF(Tabla1[[#This Row],[tamanho]]=$I$6,$L$6,0))))*IF(C980="8_1",9,25))</f>
        <v>1.0373407438710845E-6</v>
      </c>
    </row>
    <row r="981" spans="1:6" ht="12.75" x14ac:dyDescent="0.2">
      <c r="A981" s="1">
        <v>40</v>
      </c>
      <c r="B981" s="1">
        <v>4</v>
      </c>
      <c r="C981" s="1" t="s">
        <v>7</v>
      </c>
      <c r="D981" s="1" t="s">
        <v>6</v>
      </c>
      <c r="E981" s="1">
        <v>7.6914935111999503</v>
      </c>
      <c r="F981" s="1">
        <f>Tabla1[[#This Row],[tiempo]]/(IF(Tabla1[[#This Row],[tamanho]]=$I$3,$L$3,IF(Tabla1[[#This Row],[tamanho]]=$I$4,$L$4,IF(Tabla1[[#This Row],[tamanho]]=$I$5,$L$5,IF(Tabla1[[#This Row],[tamanho]]=$I$6,$L$6,0))))*IF(C981="8_1",9,25))</f>
        <v>4.1812786907364882E-7</v>
      </c>
    </row>
    <row r="982" spans="1:6" ht="12.75" x14ac:dyDescent="0.2">
      <c r="A982" s="1">
        <v>40</v>
      </c>
      <c r="B982" s="1">
        <v>4</v>
      </c>
      <c r="C982" s="1" t="s">
        <v>8</v>
      </c>
      <c r="D982" s="1" t="s">
        <v>6</v>
      </c>
      <c r="E982" s="1">
        <v>7.6726043224334699</v>
      </c>
      <c r="F982" s="1">
        <f>Tabla1[[#This Row],[tiempo]]/(IF(Tabla1[[#This Row],[tamanho]]=$I$3,$L$3,IF(Tabla1[[#This Row],[tamanho]]=$I$4,$L$4,IF(Tabla1[[#This Row],[tamanho]]=$I$5,$L$5,IF(Tabla1[[#This Row],[tamanho]]=$I$6,$L$6,0))))*IF(C982="8_1",9,25))</f>
        <v>4.1710100787485072E-7</v>
      </c>
    </row>
    <row r="983" spans="1:6" ht="12.75" x14ac:dyDescent="0.2">
      <c r="A983" s="1">
        <v>40</v>
      </c>
      <c r="B983" s="1">
        <v>4</v>
      </c>
      <c r="C983" s="1" t="s">
        <v>5</v>
      </c>
      <c r="D983" s="1" t="s">
        <v>9</v>
      </c>
      <c r="E983" s="1">
        <v>6.8337671756744296</v>
      </c>
      <c r="F983" s="1">
        <f>Tabla1[[#This Row],[tiempo]]/(IF(Tabla1[[#This Row],[tamanho]]=$I$3,$L$3,IF(Tabla1[[#This Row],[tamanho]]=$I$4,$L$4,IF(Tabla1[[#This Row],[tamanho]]=$I$5,$L$5,IF(Tabla1[[#This Row],[tamanho]]=$I$6,$L$6,0))))*IF(C983="8_1",9,25))</f>
        <v>1.0319439632127424E-6</v>
      </c>
    </row>
    <row r="984" spans="1:6" ht="12.75" x14ac:dyDescent="0.2">
      <c r="A984" s="1">
        <v>40</v>
      </c>
      <c r="B984" s="1">
        <v>4</v>
      </c>
      <c r="C984" s="1" t="s">
        <v>7</v>
      </c>
      <c r="D984" s="1" t="s">
        <v>9</v>
      </c>
      <c r="E984" s="1">
        <v>7.5531020164489702</v>
      </c>
      <c r="F984" s="1">
        <f>Tabla1[[#This Row],[tiempo]]/(IF(Tabla1[[#This Row],[tamanho]]=$I$3,$L$3,IF(Tabla1[[#This Row],[tamanho]]=$I$4,$L$4,IF(Tabla1[[#This Row],[tamanho]]=$I$5,$L$5,IF(Tabla1[[#This Row],[tamanho]]=$I$6,$L$6,0))))*IF(C984="8_1",9,25))</f>
        <v>4.1060457847815081E-7</v>
      </c>
    </row>
    <row r="985" spans="1:6" ht="12.75" x14ac:dyDescent="0.2">
      <c r="A985" s="1">
        <v>40</v>
      </c>
      <c r="B985" s="1">
        <v>4</v>
      </c>
      <c r="C985" s="1" t="s">
        <v>8</v>
      </c>
      <c r="D985" s="1" t="s">
        <v>9</v>
      </c>
      <c r="E985" s="1">
        <v>7.7996702194213796</v>
      </c>
      <c r="F985" s="1">
        <f>Tabla1[[#This Row],[tiempo]]/(IF(Tabla1[[#This Row],[tamanho]]=$I$3,$L$3,IF(Tabla1[[#This Row],[tamanho]]=$I$4,$L$4,IF(Tabla1[[#This Row],[tamanho]]=$I$5,$L$5,IF(Tabla1[[#This Row],[tamanho]]=$I$6,$L$6,0))))*IF(C985="8_1",9,25))</f>
        <v>4.2400861205629115E-7</v>
      </c>
    </row>
    <row r="986" spans="1:6" ht="12.75" x14ac:dyDescent="0.2">
      <c r="A986" s="1">
        <v>41</v>
      </c>
      <c r="B986" s="1">
        <v>1</v>
      </c>
      <c r="C986" s="1" t="s">
        <v>5</v>
      </c>
      <c r="D986" s="1" t="s">
        <v>6</v>
      </c>
      <c r="E986" s="1">
        <v>0.41323804855346602</v>
      </c>
      <c r="F986" s="1">
        <f>Tabla1[[#This Row],[tiempo]]/(IF(Tabla1[[#This Row],[tamanho]]=$I$3,$L$3,IF(Tabla1[[#This Row],[tamanho]]=$I$4,$L$4,IF(Tabla1[[#This Row],[tamanho]]=$I$5,$L$5,IF(Tabla1[[#This Row],[tamanho]]=$I$6,$L$6,0))))*IF(C986="8_1",9,25))</f>
        <v>1.7030280304203438E-6</v>
      </c>
    </row>
    <row r="987" spans="1:6" ht="12.75" x14ac:dyDescent="0.2">
      <c r="A987" s="1">
        <v>41</v>
      </c>
      <c r="B987" s="1">
        <v>1</v>
      </c>
      <c r="C987" s="1" t="s">
        <v>7</v>
      </c>
      <c r="D987" s="1" t="s">
        <v>6</v>
      </c>
      <c r="E987" s="1">
        <v>0.46131682395934998</v>
      </c>
      <c r="F987" s="1">
        <f>Tabla1[[#This Row],[tiempo]]/(IF(Tabla1[[#This Row],[tamanho]]=$I$3,$L$3,IF(Tabla1[[#This Row],[tamanho]]=$I$4,$L$4,IF(Tabla1[[#This Row],[tamanho]]=$I$5,$L$5,IF(Tabla1[[#This Row],[tamanho]]=$I$6,$L$6,0))))*IF(C987="8_1",9,25))</f>
        <v>6.8442093981580803E-7</v>
      </c>
    </row>
    <row r="988" spans="1:6" ht="12.75" x14ac:dyDescent="0.2">
      <c r="A988" s="1">
        <v>41</v>
      </c>
      <c r="B988" s="1">
        <v>1</v>
      </c>
      <c r="C988" s="1" t="s">
        <v>8</v>
      </c>
      <c r="D988" s="1" t="s">
        <v>6</v>
      </c>
      <c r="E988" s="1">
        <v>0.47323131561279203</v>
      </c>
      <c r="F988" s="1">
        <f>Tabla1[[#This Row],[tiempo]]/(IF(Tabla1[[#This Row],[tamanho]]=$I$3,$L$3,IF(Tabla1[[#This Row],[tamanho]]=$I$4,$L$4,IF(Tabla1[[#This Row],[tamanho]]=$I$5,$L$5,IF(Tabla1[[#This Row],[tamanho]]=$I$6,$L$6,0))))*IF(C988="8_1",9,25))</f>
        <v>7.0209757147404326E-7</v>
      </c>
    </row>
    <row r="989" spans="1:6" ht="12.75" x14ac:dyDescent="0.2">
      <c r="A989" s="1">
        <v>41</v>
      </c>
      <c r="B989" s="1">
        <v>1</v>
      </c>
      <c r="C989" s="1" t="s">
        <v>5</v>
      </c>
      <c r="D989" s="1" t="s">
        <v>9</v>
      </c>
      <c r="E989" s="1">
        <v>0.412112236022949</v>
      </c>
      <c r="F989" s="1">
        <f>Tabla1[[#This Row],[tiempo]]/(IF(Tabla1[[#This Row],[tamanho]]=$I$3,$L$3,IF(Tabla1[[#This Row],[tamanho]]=$I$4,$L$4,IF(Tabla1[[#This Row],[tamanho]]=$I$5,$L$5,IF(Tabla1[[#This Row],[tamanho]]=$I$6,$L$6,0))))*IF(C989="8_1",9,25))</f>
        <v>1.6983883552907656E-6</v>
      </c>
    </row>
    <row r="990" spans="1:6" ht="12.75" x14ac:dyDescent="0.2">
      <c r="A990" s="1">
        <v>41</v>
      </c>
      <c r="B990" s="1">
        <v>1</v>
      </c>
      <c r="C990" s="1" t="s">
        <v>7</v>
      </c>
      <c r="D990" s="1" t="s">
        <v>9</v>
      </c>
      <c r="E990" s="1">
        <v>0.45488572120666498</v>
      </c>
      <c r="F990" s="1">
        <f>Tabla1[[#This Row],[tiempo]]/(IF(Tabla1[[#This Row],[tamanho]]=$I$3,$L$3,IF(Tabla1[[#This Row],[tamanho]]=$I$4,$L$4,IF(Tabla1[[#This Row],[tamanho]]=$I$5,$L$5,IF(Tabla1[[#This Row],[tamanho]]=$I$6,$L$6,0))))*IF(C990="8_1",9,25))</f>
        <v>6.7487959824437514E-7</v>
      </c>
    </row>
    <row r="991" spans="1:6" ht="12.75" x14ac:dyDescent="0.2">
      <c r="A991" s="1">
        <v>41</v>
      </c>
      <c r="B991" s="1">
        <v>1</v>
      </c>
      <c r="C991" s="1" t="s">
        <v>8</v>
      </c>
      <c r="D991" s="1" t="s">
        <v>9</v>
      </c>
      <c r="E991" s="1">
        <v>0.46294856071472101</v>
      </c>
      <c r="F991" s="1">
        <f>Tabla1[[#This Row],[tiempo]]/(IF(Tabla1[[#This Row],[tamanho]]=$I$3,$L$3,IF(Tabla1[[#This Row],[tamanho]]=$I$4,$L$4,IF(Tabla1[[#This Row],[tamanho]]=$I$5,$L$5,IF(Tabla1[[#This Row],[tamanho]]=$I$6,$L$6,0))))*IF(C991="8_1",9,25))</f>
        <v>6.8684182443488157E-7</v>
      </c>
    </row>
    <row r="992" spans="1:6" ht="12.75" x14ac:dyDescent="0.2">
      <c r="A992" s="1">
        <v>41</v>
      </c>
      <c r="B992" s="1">
        <v>2</v>
      </c>
      <c r="C992" s="1" t="s">
        <v>5</v>
      </c>
      <c r="D992" s="1" t="s">
        <v>6</v>
      </c>
      <c r="E992" s="1">
        <v>1.67419958114624</v>
      </c>
      <c r="F992" s="1">
        <f>Tabla1[[#This Row],[tiempo]]/(IF(Tabla1[[#This Row],[tamanho]]=$I$3,$L$3,IF(Tabla1[[#This Row],[tamanho]]=$I$4,$L$4,IF(Tabla1[[#This Row],[tamanho]]=$I$5,$L$5,IF(Tabla1[[#This Row],[tamanho]]=$I$6,$L$6,0))))*IF(C992="8_1",9,25))</f>
        <v>1.0136233022902735E-6</v>
      </c>
    </row>
    <row r="993" spans="1:6" ht="12.75" x14ac:dyDescent="0.2">
      <c r="A993" s="1">
        <v>41</v>
      </c>
      <c r="B993" s="1">
        <v>2</v>
      </c>
      <c r="C993" s="1" t="s">
        <v>7</v>
      </c>
      <c r="D993" s="1" t="s">
        <v>6</v>
      </c>
      <c r="E993" s="1">
        <v>1.8713021278381301</v>
      </c>
      <c r="F993" s="1">
        <f>Tabla1[[#This Row],[tiempo]]/(IF(Tabla1[[#This Row],[tamanho]]=$I$3,$L$3,IF(Tabla1[[#This Row],[tamanho]]=$I$4,$L$4,IF(Tabla1[[#This Row],[tamanho]]=$I$5,$L$5,IF(Tabla1[[#This Row],[tamanho]]=$I$6,$L$6,0))))*IF(C993="8_1",9,25))</f>
        <v>4.0786437110278441E-7</v>
      </c>
    </row>
    <row r="994" spans="1:6" ht="12.75" x14ac:dyDescent="0.2">
      <c r="A994" s="1">
        <v>41</v>
      </c>
      <c r="B994" s="1">
        <v>2</v>
      </c>
      <c r="C994" s="1" t="s">
        <v>8</v>
      </c>
      <c r="D994" s="1" t="s">
        <v>6</v>
      </c>
      <c r="E994" s="1">
        <v>1.86731505393981</v>
      </c>
      <c r="F994" s="1">
        <f>Tabla1[[#This Row],[tiempo]]/(IF(Tabla1[[#This Row],[tamanho]]=$I$3,$L$3,IF(Tabla1[[#This Row],[tamanho]]=$I$4,$L$4,IF(Tabla1[[#This Row],[tamanho]]=$I$5,$L$5,IF(Tabla1[[#This Row],[tamanho]]=$I$6,$L$6,0))))*IF(C994="8_1",9,25))</f>
        <v>4.0699535836353355E-7</v>
      </c>
    </row>
    <row r="995" spans="1:6" ht="12.75" x14ac:dyDescent="0.2">
      <c r="A995" s="1">
        <v>41</v>
      </c>
      <c r="B995" s="1">
        <v>2</v>
      </c>
      <c r="C995" s="1" t="s">
        <v>5</v>
      </c>
      <c r="D995" s="1" t="s">
        <v>9</v>
      </c>
      <c r="E995" s="1">
        <v>1.7093117237091</v>
      </c>
      <c r="F995" s="1">
        <f>Tabla1[[#This Row],[tiempo]]/(IF(Tabla1[[#This Row],[tamanho]]=$I$3,$L$3,IF(Tabla1[[#This Row],[tamanho]]=$I$4,$L$4,IF(Tabla1[[#This Row],[tamanho]]=$I$5,$L$5,IF(Tabla1[[#This Row],[tamanho]]=$I$6,$L$6,0))))*IF(C995="8_1",9,25))</f>
        <v>1.0348815120615874E-6</v>
      </c>
    </row>
    <row r="996" spans="1:6" ht="12.75" x14ac:dyDescent="0.2">
      <c r="A996" s="1">
        <v>41</v>
      </c>
      <c r="B996" s="1">
        <v>2</v>
      </c>
      <c r="C996" s="1" t="s">
        <v>7</v>
      </c>
      <c r="D996" s="1" t="s">
        <v>9</v>
      </c>
      <c r="E996" s="1">
        <v>1.9200482368469201</v>
      </c>
      <c r="F996" s="1">
        <f>Tabla1[[#This Row],[tiempo]]/(IF(Tabla1[[#This Row],[tamanho]]=$I$3,$L$3,IF(Tabla1[[#This Row],[tamanho]]=$I$4,$L$4,IF(Tabla1[[#This Row],[tamanho]]=$I$5,$L$5,IF(Tabla1[[#This Row],[tamanho]]=$I$6,$L$6,0))))*IF(C996="8_1",9,25))</f>
        <v>4.184889521358573E-7</v>
      </c>
    </row>
    <row r="997" spans="1:6" ht="12.75" x14ac:dyDescent="0.2">
      <c r="A997" s="1">
        <v>41</v>
      </c>
      <c r="B997" s="1">
        <v>2</v>
      </c>
      <c r="C997" s="1" t="s">
        <v>8</v>
      </c>
      <c r="D997" s="1" t="s">
        <v>9</v>
      </c>
      <c r="E997" s="1">
        <v>1.9290521144866899</v>
      </c>
      <c r="F997" s="1">
        <f>Tabla1[[#This Row],[tiempo]]/(IF(Tabla1[[#This Row],[tamanho]]=$I$3,$L$3,IF(Tabla1[[#This Row],[tamanho]]=$I$4,$L$4,IF(Tabla1[[#This Row],[tamanho]]=$I$5,$L$5,IF(Tabla1[[#This Row],[tamanho]]=$I$6,$L$6,0))))*IF(C997="8_1",9,25))</f>
        <v>4.204514149773193E-7</v>
      </c>
    </row>
    <row r="998" spans="1:6" ht="12.75" x14ac:dyDescent="0.2">
      <c r="A998" s="1">
        <v>41</v>
      </c>
      <c r="B998" s="1">
        <v>3</v>
      </c>
      <c r="C998" s="1" t="s">
        <v>5</v>
      </c>
      <c r="D998" s="1" t="s">
        <v>6</v>
      </c>
      <c r="E998" s="1">
        <v>3.7608900070190399</v>
      </c>
      <c r="F998" s="1">
        <f>Tabla1[[#This Row],[tiempo]]/(IF(Tabla1[[#This Row],[tamanho]]=$I$3,$L$3,IF(Tabla1[[#This Row],[tamanho]]=$I$4,$L$4,IF(Tabla1[[#This Row],[tamanho]]=$I$5,$L$5,IF(Tabla1[[#This Row],[tamanho]]=$I$6,$L$6,0))))*IF(C998="8_1",9,25))</f>
        <v>1.0111884667420685E-6</v>
      </c>
    </row>
    <row r="999" spans="1:6" ht="12.75" x14ac:dyDescent="0.2">
      <c r="A999" s="1">
        <v>41</v>
      </c>
      <c r="B999" s="1">
        <v>3</v>
      </c>
      <c r="C999" s="1" t="s">
        <v>7</v>
      </c>
      <c r="D999" s="1" t="s">
        <v>6</v>
      </c>
      <c r="E999" s="1">
        <v>4.2440485954284597</v>
      </c>
      <c r="F999" s="1">
        <f>Tabla1[[#This Row],[tiempo]]/(IF(Tabla1[[#This Row],[tamanho]]=$I$3,$L$3,IF(Tabla1[[#This Row],[tamanho]]=$I$4,$L$4,IF(Tabla1[[#This Row],[tamanho]]=$I$5,$L$5,IF(Tabla1[[#This Row],[tamanho]]=$I$6,$L$6,0))))*IF(C999="8_1",9,25))</f>
        <v>4.1079422004713431E-7</v>
      </c>
    </row>
    <row r="1000" spans="1:6" ht="12.75" x14ac:dyDescent="0.2">
      <c r="A1000" s="1">
        <v>41</v>
      </c>
      <c r="B1000" s="1">
        <v>3</v>
      </c>
      <c r="C1000" s="1" t="s">
        <v>8</v>
      </c>
      <c r="D1000" s="1" t="s">
        <v>6</v>
      </c>
      <c r="E1000" s="1">
        <v>4.2699098587036097</v>
      </c>
      <c r="F1000" s="1">
        <f>Tabla1[[#This Row],[tiempo]]/(IF(Tabla1[[#This Row],[tamanho]]=$I$3,$L$3,IF(Tabla1[[#This Row],[tamanho]]=$I$4,$L$4,IF(Tabla1[[#This Row],[tamanho]]=$I$5,$L$5,IF(Tabla1[[#This Row],[tamanho]]=$I$6,$L$6,0))))*IF(C1000="8_1",9,25))</f>
        <v>4.1329740945170245E-7</v>
      </c>
    </row>
    <row r="1001" spans="1:6" ht="12.75" x14ac:dyDescent="0.2">
      <c r="A1001" s="1">
        <v>41</v>
      </c>
      <c r="B1001" s="1">
        <v>3</v>
      </c>
      <c r="C1001" s="1" t="s">
        <v>5</v>
      </c>
      <c r="D1001" s="1" t="s">
        <v>9</v>
      </c>
      <c r="E1001" s="1">
        <v>3.7992081642150799</v>
      </c>
      <c r="F1001" s="1">
        <f>Tabla1[[#This Row],[tiempo]]/(IF(Tabla1[[#This Row],[tamanho]]=$I$3,$L$3,IF(Tabla1[[#This Row],[tamanho]]=$I$4,$L$4,IF(Tabla1[[#This Row],[tamanho]]=$I$5,$L$5,IF(Tabla1[[#This Row],[tamanho]]=$I$6,$L$6,0))))*IF(C1001="8_1",9,25))</f>
        <v>1.0214910489901881E-6</v>
      </c>
    </row>
    <row r="1002" spans="1:6" ht="12.75" x14ac:dyDescent="0.2">
      <c r="A1002" s="1">
        <v>41</v>
      </c>
      <c r="B1002" s="1">
        <v>3</v>
      </c>
      <c r="C1002" s="1" t="s">
        <v>7</v>
      </c>
      <c r="D1002" s="1" t="s">
        <v>9</v>
      </c>
      <c r="E1002" s="1">
        <v>4.2368297576904297</v>
      </c>
      <c r="F1002" s="1">
        <f>Tabla1[[#This Row],[tiempo]]/(IF(Tabla1[[#This Row],[tamanho]]=$I$3,$L$3,IF(Tabla1[[#This Row],[tamanho]]=$I$4,$L$4,IF(Tabla1[[#This Row],[tamanho]]=$I$5,$L$5,IF(Tabla1[[#This Row],[tamanho]]=$I$6,$L$6,0))))*IF(C1002="8_1",9,25))</f>
        <v>4.1009548704453973E-7</v>
      </c>
    </row>
    <row r="1003" spans="1:6" ht="12.75" x14ac:dyDescent="0.2">
      <c r="A1003" s="1">
        <v>41</v>
      </c>
      <c r="B1003" s="1">
        <v>3</v>
      </c>
      <c r="C1003" s="1" t="s">
        <v>8</v>
      </c>
      <c r="D1003" s="1" t="s">
        <v>9</v>
      </c>
      <c r="E1003" s="1">
        <v>4.3460419178008998</v>
      </c>
      <c r="F1003" s="1">
        <f>Tabla1[[#This Row],[tiempo]]/(IF(Tabla1[[#This Row],[tamanho]]=$I$3,$L$3,IF(Tabla1[[#This Row],[tamanho]]=$I$4,$L$4,IF(Tabla1[[#This Row],[tamanho]]=$I$5,$L$5,IF(Tabla1[[#This Row],[tamanho]]=$I$6,$L$6,0))))*IF(C1003="8_1",9,25))</f>
        <v>4.2066646028470693E-7</v>
      </c>
    </row>
    <row r="1004" spans="1:6" ht="12.75" x14ac:dyDescent="0.2">
      <c r="A1004" s="1">
        <v>41</v>
      </c>
      <c r="B1004" s="1">
        <v>4</v>
      </c>
      <c r="C1004" s="1" t="s">
        <v>5</v>
      </c>
      <c r="D1004" s="1" t="s">
        <v>6</v>
      </c>
      <c r="E1004" s="1">
        <v>6.9660379886627197</v>
      </c>
      <c r="F1004" s="1">
        <f>Tabla1[[#This Row],[tiempo]]/(IF(Tabla1[[#This Row],[tamanho]]=$I$3,$L$3,IF(Tabla1[[#This Row],[tamanho]]=$I$4,$L$4,IF(Tabla1[[#This Row],[tamanho]]=$I$5,$L$5,IF(Tabla1[[#This Row],[tamanho]]=$I$6,$L$6,0))))*IF(C1004="8_1",9,25))</f>
        <v>1.0519177292869484E-6</v>
      </c>
    </row>
    <row r="1005" spans="1:6" ht="12.75" x14ac:dyDescent="0.2">
      <c r="A1005" s="1">
        <v>41</v>
      </c>
      <c r="B1005" s="1">
        <v>4</v>
      </c>
      <c r="C1005" s="1" t="s">
        <v>7</v>
      </c>
      <c r="D1005" s="1" t="s">
        <v>6</v>
      </c>
      <c r="E1005" s="1">
        <v>7.6822760105133003</v>
      </c>
      <c r="F1005" s="1">
        <f>Tabla1[[#This Row],[tiempo]]/(IF(Tabla1[[#This Row],[tamanho]]=$I$3,$L$3,IF(Tabla1[[#This Row],[tamanho]]=$I$4,$L$4,IF(Tabla1[[#This Row],[tamanho]]=$I$5,$L$5,IF(Tabla1[[#This Row],[tamanho]]=$I$6,$L$6,0))))*IF(C1005="8_1",9,25))</f>
        <v>4.176267838273723E-7</v>
      </c>
    </row>
    <row r="1006" spans="1:6" ht="12.75" x14ac:dyDescent="0.2">
      <c r="A1006" s="1">
        <v>41</v>
      </c>
      <c r="B1006" s="1">
        <v>4</v>
      </c>
      <c r="C1006" s="1" t="s">
        <v>8</v>
      </c>
      <c r="D1006" s="1" t="s">
        <v>6</v>
      </c>
      <c r="E1006" s="1">
        <v>7.6268382072448704</v>
      </c>
      <c r="F1006" s="1">
        <f>Tabla1[[#This Row],[tiempo]]/(IF(Tabla1[[#This Row],[tamanho]]=$I$3,$L$3,IF(Tabla1[[#This Row],[tamanho]]=$I$4,$L$4,IF(Tabla1[[#This Row],[tamanho]]=$I$5,$L$5,IF(Tabla1[[#This Row],[tamanho]]=$I$6,$L$6,0))))*IF(C1006="8_1",9,25))</f>
        <v>4.1461305307235063E-7</v>
      </c>
    </row>
    <row r="1007" spans="1:6" ht="12.75" x14ac:dyDescent="0.2">
      <c r="A1007" s="1">
        <v>41</v>
      </c>
      <c r="B1007" s="1">
        <v>4</v>
      </c>
      <c r="C1007" s="1" t="s">
        <v>5</v>
      </c>
      <c r="D1007" s="1" t="s">
        <v>9</v>
      </c>
      <c r="E1007" s="1">
        <v>6.7737252712249703</v>
      </c>
      <c r="F1007" s="1">
        <f>Tabla1[[#This Row],[tiempo]]/(IF(Tabla1[[#This Row],[tamanho]]=$I$3,$L$3,IF(Tabla1[[#This Row],[tamanho]]=$I$4,$L$4,IF(Tabla1[[#This Row],[tamanho]]=$I$5,$L$5,IF(Tabla1[[#This Row],[tamanho]]=$I$6,$L$6,0))))*IF(C1007="8_1",9,25))</f>
        <v>1.0228772392165007E-6</v>
      </c>
    </row>
    <row r="1008" spans="1:6" ht="12.75" x14ac:dyDescent="0.2">
      <c r="A1008" s="1">
        <v>41</v>
      </c>
      <c r="B1008" s="1">
        <v>4</v>
      </c>
      <c r="C1008" s="1" t="s">
        <v>7</v>
      </c>
      <c r="D1008" s="1" t="s">
        <v>9</v>
      </c>
      <c r="E1008" s="1">
        <v>7.5710470676422101</v>
      </c>
      <c r="F1008" s="1">
        <f>Tabla1[[#This Row],[tiempo]]/(IF(Tabla1[[#This Row],[tamanho]]=$I$3,$L$3,IF(Tabla1[[#This Row],[tamanho]]=$I$4,$L$4,IF(Tabla1[[#This Row],[tamanho]]=$I$5,$L$5,IF(Tabla1[[#This Row],[tamanho]]=$I$6,$L$6,0))))*IF(C1008="8_1",9,25))</f>
        <v>4.1158011411435996E-7</v>
      </c>
    </row>
    <row r="1009" spans="1:6" ht="12.75" x14ac:dyDescent="0.2">
      <c r="A1009" s="1">
        <v>41</v>
      </c>
      <c r="B1009" s="1">
        <v>4</v>
      </c>
      <c r="C1009" s="1" t="s">
        <v>8</v>
      </c>
      <c r="D1009" s="1" t="s">
        <v>9</v>
      </c>
      <c r="E1009" s="1">
        <v>7.6987600326537997</v>
      </c>
      <c r="F1009" s="1">
        <f>Tabla1[[#This Row],[tiempo]]/(IF(Tabla1[[#This Row],[tamanho]]=$I$3,$L$3,IF(Tabla1[[#This Row],[tamanho]]=$I$4,$L$4,IF(Tabla1[[#This Row],[tamanho]]=$I$5,$L$5,IF(Tabla1[[#This Row],[tamanho]]=$I$6,$L$6,0))))*IF(C1009="8_1",9,25))</f>
        <v>4.1852289445157463E-7</v>
      </c>
    </row>
    <row r="1010" spans="1:6" ht="12.75" x14ac:dyDescent="0.2">
      <c r="A1010" s="1">
        <v>42</v>
      </c>
      <c r="B1010" s="1">
        <v>1</v>
      </c>
      <c r="C1010" s="1" t="s">
        <v>5</v>
      </c>
      <c r="D1010" s="1" t="s">
        <v>6</v>
      </c>
      <c r="E1010" s="1">
        <v>0.40527296066284102</v>
      </c>
      <c r="F1010" s="1">
        <f>Tabla1[[#This Row],[tiempo]]/(IF(Tabla1[[#This Row],[tamanho]]=$I$3,$L$3,IF(Tabla1[[#This Row],[tamanho]]=$I$4,$L$4,IF(Tabla1[[#This Row],[tamanho]]=$I$5,$L$5,IF(Tabla1[[#This Row],[tamanho]]=$I$6,$L$6,0))))*IF(C1010="8_1",9,25))</f>
        <v>1.6702024762634135E-6</v>
      </c>
    </row>
    <row r="1011" spans="1:6" ht="12.75" x14ac:dyDescent="0.2">
      <c r="A1011" s="1">
        <v>42</v>
      </c>
      <c r="B1011" s="1">
        <v>1</v>
      </c>
      <c r="C1011" s="1" t="s">
        <v>7</v>
      </c>
      <c r="D1011" s="1" t="s">
        <v>6</v>
      </c>
      <c r="E1011" s="1">
        <v>0.45498323440551702</v>
      </c>
      <c r="F1011" s="1">
        <f>Tabla1[[#This Row],[tiempo]]/(IF(Tabla1[[#This Row],[tamanho]]=$I$3,$L$3,IF(Tabla1[[#This Row],[tamanho]]=$I$4,$L$4,IF(Tabla1[[#This Row],[tamanho]]=$I$5,$L$5,IF(Tabla1[[#This Row],[tamanho]]=$I$6,$L$6,0))))*IF(C1011="8_1",9,25))</f>
        <v>6.7502427121474281E-7</v>
      </c>
    </row>
    <row r="1012" spans="1:6" ht="12.75" x14ac:dyDescent="0.2">
      <c r="A1012" s="1">
        <v>42</v>
      </c>
      <c r="B1012" s="1">
        <v>1</v>
      </c>
      <c r="C1012" s="1" t="s">
        <v>8</v>
      </c>
      <c r="D1012" s="1" t="s">
        <v>6</v>
      </c>
      <c r="E1012" s="1">
        <v>0.45806074142455999</v>
      </c>
      <c r="F1012" s="1">
        <f>Tabla1[[#This Row],[tiempo]]/(IF(Tabla1[[#This Row],[tamanho]]=$I$3,$L$3,IF(Tabla1[[#This Row],[tamanho]]=$I$4,$L$4,IF(Tabla1[[#This Row],[tamanho]]=$I$5,$L$5,IF(Tabla1[[#This Row],[tamanho]]=$I$6,$L$6,0))))*IF(C1012="8_1",9,25))</f>
        <v>6.7959013601062278E-7</v>
      </c>
    </row>
    <row r="1013" spans="1:6" ht="12.75" x14ac:dyDescent="0.2">
      <c r="A1013" s="1">
        <v>42</v>
      </c>
      <c r="B1013" s="1">
        <v>1</v>
      </c>
      <c r="C1013" s="1" t="s">
        <v>5</v>
      </c>
      <c r="D1013" s="1" t="s">
        <v>9</v>
      </c>
      <c r="E1013" s="1">
        <v>0.40530991554260198</v>
      </c>
      <c r="F1013" s="1">
        <f>Tabla1[[#This Row],[tiempo]]/(IF(Tabla1[[#This Row],[tamanho]]=$I$3,$L$3,IF(Tabla1[[#This Row],[tamanho]]=$I$4,$L$4,IF(Tabla1[[#This Row],[tamanho]]=$I$5,$L$5,IF(Tabla1[[#This Row],[tamanho]]=$I$6,$L$6,0))))*IF(C1013="8_1",9,25))</f>
        <v>1.6703547739434408E-6</v>
      </c>
    </row>
    <row r="1014" spans="1:6" ht="12.75" x14ac:dyDescent="0.2">
      <c r="A1014" s="1">
        <v>42</v>
      </c>
      <c r="B1014" s="1">
        <v>1</v>
      </c>
      <c r="C1014" s="1" t="s">
        <v>7</v>
      </c>
      <c r="D1014" s="1" t="s">
        <v>9</v>
      </c>
      <c r="E1014" s="1">
        <v>0.453437089920043</v>
      </c>
      <c r="F1014" s="1">
        <f>Tabla1[[#This Row],[tiempo]]/(IF(Tabla1[[#This Row],[tamanho]]=$I$3,$L$3,IF(Tabla1[[#This Row],[tamanho]]=$I$4,$L$4,IF(Tabla1[[#This Row],[tamanho]]=$I$5,$L$5,IF(Tabla1[[#This Row],[tamanho]]=$I$6,$L$6,0))))*IF(C1014="8_1",9,25))</f>
        <v>6.7273037338384038E-7</v>
      </c>
    </row>
    <row r="1015" spans="1:6" ht="12.75" x14ac:dyDescent="0.2">
      <c r="A1015" s="1">
        <v>42</v>
      </c>
      <c r="B1015" s="1">
        <v>1</v>
      </c>
      <c r="C1015" s="1" t="s">
        <v>8</v>
      </c>
      <c r="D1015" s="1" t="s">
        <v>9</v>
      </c>
      <c r="E1015" s="1">
        <v>0.45800113677978499</v>
      </c>
      <c r="F1015" s="1">
        <f>Tabla1[[#This Row],[tiempo]]/(IF(Tabla1[[#This Row],[tamanho]]=$I$3,$L$3,IF(Tabla1[[#This Row],[tamanho]]=$I$4,$L$4,IF(Tabla1[[#This Row],[tamanho]]=$I$5,$L$5,IF(Tabla1[[#This Row],[tamanho]]=$I$6,$L$6,0))))*IF(C1015="8_1",9,25))</f>
        <v>6.7950170509964025E-7</v>
      </c>
    </row>
    <row r="1016" spans="1:6" ht="12.75" x14ac:dyDescent="0.2">
      <c r="A1016" s="1">
        <v>42</v>
      </c>
      <c r="B1016" s="1">
        <v>2</v>
      </c>
      <c r="C1016" s="1" t="s">
        <v>5</v>
      </c>
      <c r="D1016" s="1" t="s">
        <v>6</v>
      </c>
      <c r="E1016" s="1">
        <v>1.7016687393188401</v>
      </c>
      <c r="F1016" s="1">
        <f>Tabla1[[#This Row],[tiempo]]/(IF(Tabla1[[#This Row],[tamanho]]=$I$3,$L$3,IF(Tabla1[[#This Row],[tamanho]]=$I$4,$L$4,IF(Tabla1[[#This Row],[tamanho]]=$I$5,$L$5,IF(Tabla1[[#This Row],[tamanho]]=$I$6,$L$6,0))))*IF(C1016="8_1",9,25))</f>
        <v>1.0302541622735151E-6</v>
      </c>
    </row>
    <row r="1017" spans="1:6" ht="12.75" x14ac:dyDescent="0.2">
      <c r="A1017" s="1">
        <v>42</v>
      </c>
      <c r="B1017" s="1">
        <v>2</v>
      </c>
      <c r="C1017" s="1" t="s">
        <v>7</v>
      </c>
      <c r="D1017" s="1" t="s">
        <v>6</v>
      </c>
      <c r="E1017" s="1">
        <v>1.8741803169250399</v>
      </c>
      <c r="F1017" s="1">
        <f>Tabla1[[#This Row],[tiempo]]/(IF(Tabla1[[#This Row],[tamanho]]=$I$3,$L$3,IF(Tabla1[[#This Row],[tamanho]]=$I$4,$L$4,IF(Tabla1[[#This Row],[tamanho]]=$I$5,$L$5,IF(Tabla1[[#This Row],[tamanho]]=$I$6,$L$6,0))))*IF(C1017="8_1",9,25))</f>
        <v>4.084916940584867E-7</v>
      </c>
    </row>
    <row r="1018" spans="1:6" ht="12.75" x14ac:dyDescent="0.2">
      <c r="A1018" s="1">
        <v>42</v>
      </c>
      <c r="B1018" s="1">
        <v>2</v>
      </c>
      <c r="C1018" s="1" t="s">
        <v>8</v>
      </c>
      <c r="D1018" s="1" t="s">
        <v>6</v>
      </c>
      <c r="E1018" s="1">
        <v>1.8890573978423999</v>
      </c>
      <c r="F1018" s="1">
        <f>Tabla1[[#This Row],[tiempo]]/(IF(Tabla1[[#This Row],[tamanho]]=$I$3,$L$3,IF(Tabla1[[#This Row],[tamanho]]=$I$4,$L$4,IF(Tabla1[[#This Row],[tamanho]]=$I$5,$L$5,IF(Tabla1[[#This Row],[tamanho]]=$I$6,$L$6,0))))*IF(C1018="8_1",9,25))</f>
        <v>4.1173426572125412E-7</v>
      </c>
    </row>
    <row r="1019" spans="1:6" ht="12.75" x14ac:dyDescent="0.2">
      <c r="A1019" s="1">
        <v>42</v>
      </c>
      <c r="B1019" s="1">
        <v>2</v>
      </c>
      <c r="C1019" s="1" t="s">
        <v>5</v>
      </c>
      <c r="D1019" s="1" t="s">
        <v>9</v>
      </c>
      <c r="E1019" s="1">
        <v>1.6956207752227701</v>
      </c>
      <c r="F1019" s="1">
        <f>Tabla1[[#This Row],[tiempo]]/(IF(Tabla1[[#This Row],[tamanho]]=$I$3,$L$3,IF(Tabla1[[#This Row],[tamanho]]=$I$4,$L$4,IF(Tabla1[[#This Row],[tamanho]]=$I$5,$L$5,IF(Tabla1[[#This Row],[tamanho]]=$I$6,$L$6,0))))*IF(C1019="8_1",9,25))</f>
        <v>1.0265924976737696E-6</v>
      </c>
    </row>
    <row r="1020" spans="1:6" ht="12.75" x14ac:dyDescent="0.2">
      <c r="A1020" s="1">
        <v>42</v>
      </c>
      <c r="B1020" s="1">
        <v>2</v>
      </c>
      <c r="C1020" s="1" t="s">
        <v>7</v>
      </c>
      <c r="D1020" s="1" t="s">
        <v>9</v>
      </c>
      <c r="E1020" s="1">
        <v>1.8664243221282899</v>
      </c>
      <c r="F1020" s="1">
        <f>Tabla1[[#This Row],[tiempo]]/(IF(Tabla1[[#This Row],[tamanho]]=$I$3,$L$3,IF(Tabla1[[#This Row],[tamanho]]=$I$4,$L$4,IF(Tabla1[[#This Row],[tamanho]]=$I$5,$L$5,IF(Tabla1[[#This Row],[tamanho]]=$I$6,$L$6,0))))*IF(C1020="8_1",9,25))</f>
        <v>4.0680121666683884E-7</v>
      </c>
    </row>
    <row r="1021" spans="1:6" ht="12.75" x14ac:dyDescent="0.2">
      <c r="A1021" s="1">
        <v>42</v>
      </c>
      <c r="B1021" s="1">
        <v>2</v>
      </c>
      <c r="C1021" s="1" t="s">
        <v>8</v>
      </c>
      <c r="D1021" s="1" t="s">
        <v>9</v>
      </c>
      <c r="E1021" s="1">
        <v>1.9051828384399401</v>
      </c>
      <c r="F1021" s="1">
        <f>Tabla1[[#This Row],[tiempo]]/(IF(Tabla1[[#This Row],[tamanho]]=$I$3,$L$3,IF(Tabla1[[#This Row],[tamanho]]=$I$4,$L$4,IF(Tabla1[[#This Row],[tamanho]]=$I$5,$L$5,IF(Tabla1[[#This Row],[tamanho]]=$I$6,$L$6,0))))*IF(C1021="8_1",9,25))</f>
        <v>4.1524892676408061E-7</v>
      </c>
    </row>
    <row r="1022" spans="1:6" ht="12.75" x14ac:dyDescent="0.2">
      <c r="A1022" s="1">
        <v>42</v>
      </c>
      <c r="B1022" s="1">
        <v>3</v>
      </c>
      <c r="C1022" s="1" t="s">
        <v>5</v>
      </c>
      <c r="D1022" s="1" t="s">
        <v>6</v>
      </c>
      <c r="E1022" s="1">
        <v>3.78929495811462</v>
      </c>
      <c r="F1022" s="1">
        <f>Tabla1[[#This Row],[tiempo]]/(IF(Tabla1[[#This Row],[tamanho]]=$I$3,$L$3,IF(Tabla1[[#This Row],[tamanho]]=$I$4,$L$4,IF(Tabla1[[#This Row],[tamanho]]=$I$5,$L$5,IF(Tabla1[[#This Row],[tamanho]]=$I$6,$L$6,0))))*IF(C1022="8_1",9,25))</f>
        <v>1.0188256906153052E-6</v>
      </c>
    </row>
    <row r="1023" spans="1:6" ht="12.75" x14ac:dyDescent="0.2">
      <c r="A1023" s="1">
        <v>42</v>
      </c>
      <c r="B1023" s="1">
        <v>3</v>
      </c>
      <c r="C1023" s="1" t="s">
        <v>7</v>
      </c>
      <c r="D1023" s="1" t="s">
        <v>6</v>
      </c>
      <c r="E1023" s="1">
        <v>4.2989082336425701</v>
      </c>
      <c r="F1023" s="1">
        <f>Tabla1[[#This Row],[tiempo]]/(IF(Tabla1[[#This Row],[tamanho]]=$I$3,$L$3,IF(Tabla1[[#This Row],[tamanho]]=$I$4,$L$4,IF(Tabla1[[#This Row],[tamanho]]=$I$5,$L$5,IF(Tabla1[[#This Row],[tamanho]]=$I$6,$L$6,0))))*IF(C1023="8_1",9,25))</f>
        <v>4.1610424932354465E-7</v>
      </c>
    </row>
    <row r="1024" spans="1:6" ht="12.75" x14ac:dyDescent="0.2">
      <c r="A1024" s="1">
        <v>42</v>
      </c>
      <c r="B1024" s="1">
        <v>3</v>
      </c>
      <c r="C1024" s="1" t="s">
        <v>8</v>
      </c>
      <c r="D1024" s="1" t="s">
        <v>6</v>
      </c>
      <c r="E1024" s="1">
        <v>4.3941311836242596</v>
      </c>
      <c r="F1024" s="1">
        <f>Tabla1[[#This Row],[tiempo]]/(IF(Tabla1[[#This Row],[tamanho]]=$I$3,$L$3,IF(Tabla1[[#This Row],[tamanho]]=$I$4,$L$4,IF(Tabla1[[#This Row],[tamanho]]=$I$5,$L$5,IF(Tabla1[[#This Row],[tamanho]]=$I$6,$L$6,0))))*IF(C1024="8_1",9,25))</f>
        <v>4.25321164867455E-7</v>
      </c>
    </row>
    <row r="1025" spans="1:6" ht="12.75" x14ac:dyDescent="0.2">
      <c r="A1025" s="1">
        <v>42</v>
      </c>
      <c r="B1025" s="1">
        <v>3</v>
      </c>
      <c r="C1025" s="1" t="s">
        <v>5</v>
      </c>
      <c r="D1025" s="1" t="s">
        <v>9</v>
      </c>
      <c r="E1025" s="1">
        <v>3.8255853652954102</v>
      </c>
      <c r="F1025" s="1">
        <f>Tabla1[[#This Row],[tiempo]]/(IF(Tabla1[[#This Row],[tamanho]]=$I$3,$L$3,IF(Tabla1[[#This Row],[tamanho]]=$I$4,$L$4,IF(Tabla1[[#This Row],[tamanho]]=$I$5,$L$5,IF(Tabla1[[#This Row],[tamanho]]=$I$6,$L$6,0))))*IF(C1025="8_1",9,25))</f>
        <v>1.0285830728110357E-6</v>
      </c>
    </row>
    <row r="1026" spans="1:6" ht="12.75" x14ac:dyDescent="0.2">
      <c r="A1026" s="1">
        <v>42</v>
      </c>
      <c r="B1026" s="1">
        <v>3</v>
      </c>
      <c r="C1026" s="1" t="s">
        <v>7</v>
      </c>
      <c r="D1026" s="1" t="s">
        <v>9</v>
      </c>
      <c r="E1026" s="1">
        <v>4.2804908752441397</v>
      </c>
      <c r="F1026" s="1">
        <f>Tabla1[[#This Row],[tiempo]]/(IF(Tabla1[[#This Row],[tamanho]]=$I$3,$L$3,IF(Tabla1[[#This Row],[tamanho]]=$I$4,$L$4,IF(Tabla1[[#This Row],[tamanho]]=$I$5,$L$5,IF(Tabla1[[#This Row],[tamanho]]=$I$6,$L$6,0))))*IF(C1026="8_1",9,25))</f>
        <v>4.1432157784641755E-7</v>
      </c>
    </row>
    <row r="1027" spans="1:6" ht="12.75" x14ac:dyDescent="0.2">
      <c r="A1027" s="1">
        <v>42</v>
      </c>
      <c r="B1027" s="1">
        <v>3</v>
      </c>
      <c r="C1027" s="1" t="s">
        <v>8</v>
      </c>
      <c r="D1027" s="1" t="s">
        <v>9</v>
      </c>
      <c r="E1027" s="1">
        <v>4.3274843692779497</v>
      </c>
      <c r="F1027" s="1">
        <f>Tabla1[[#This Row],[tiempo]]/(IF(Tabla1[[#This Row],[tamanho]]=$I$3,$L$3,IF(Tabla1[[#This Row],[tamanho]]=$I$4,$L$4,IF(Tabla1[[#This Row],[tamanho]]=$I$5,$L$5,IF(Tabla1[[#This Row],[tamanho]]=$I$6,$L$6,0))))*IF(C1027="8_1",9,25))</f>
        <v>4.1887021938405283E-7</v>
      </c>
    </row>
    <row r="1028" spans="1:6" ht="12.75" x14ac:dyDescent="0.2">
      <c r="A1028" s="1">
        <v>42</v>
      </c>
      <c r="B1028" s="1">
        <v>4</v>
      </c>
      <c r="C1028" s="1" t="s">
        <v>5</v>
      </c>
      <c r="D1028" s="1" t="s">
        <v>6</v>
      </c>
      <c r="E1028" s="1">
        <v>6.7860484123229901</v>
      </c>
      <c r="F1028" s="1">
        <f>Tabla1[[#This Row],[tiempo]]/(IF(Tabla1[[#This Row],[tamanho]]=$I$3,$L$3,IF(Tabla1[[#This Row],[tamanho]]=$I$4,$L$4,IF(Tabla1[[#This Row],[tamanho]]=$I$5,$L$5,IF(Tabla1[[#This Row],[tamanho]]=$I$6,$L$6,0))))*IF(C1028="8_1",9,25))</f>
        <v>1.0247381148853687E-6</v>
      </c>
    </row>
    <row r="1029" spans="1:6" ht="12.75" x14ac:dyDescent="0.2">
      <c r="A1029" s="1">
        <v>42</v>
      </c>
      <c r="B1029" s="1">
        <v>4</v>
      </c>
      <c r="C1029" s="1" t="s">
        <v>7</v>
      </c>
      <c r="D1029" s="1" t="s">
        <v>6</v>
      </c>
      <c r="E1029" s="1">
        <v>7.6085164546966499</v>
      </c>
      <c r="F1029" s="1">
        <f>Tabla1[[#This Row],[tiempo]]/(IF(Tabla1[[#This Row],[tamanho]]=$I$3,$L$3,IF(Tabla1[[#This Row],[tamanho]]=$I$4,$L$4,IF(Tabla1[[#This Row],[tamanho]]=$I$5,$L$5,IF(Tabla1[[#This Row],[tamanho]]=$I$6,$L$6,0))))*IF(C1029="8_1",9,25))</f>
        <v>4.1361703905510852E-7</v>
      </c>
    </row>
    <row r="1030" spans="1:6" ht="12.75" x14ac:dyDescent="0.2">
      <c r="A1030" s="1">
        <v>42</v>
      </c>
      <c r="B1030" s="1">
        <v>4</v>
      </c>
      <c r="C1030" s="1" t="s">
        <v>8</v>
      </c>
      <c r="D1030" s="1" t="s">
        <v>6</v>
      </c>
      <c r="E1030" s="1">
        <v>7.6416215896606401</v>
      </c>
      <c r="F1030" s="1">
        <f>Tabla1[[#This Row],[tiempo]]/(IF(Tabla1[[#This Row],[tamanho]]=$I$3,$L$3,IF(Tabla1[[#This Row],[tamanho]]=$I$4,$L$4,IF(Tabla1[[#This Row],[tamanho]]=$I$5,$L$5,IF(Tabla1[[#This Row],[tamanho]]=$I$6,$L$6,0))))*IF(C1030="8_1",9,25))</f>
        <v>4.1541671287888957E-7</v>
      </c>
    </row>
    <row r="1031" spans="1:6" ht="12.75" x14ac:dyDescent="0.2">
      <c r="A1031" s="1">
        <v>42</v>
      </c>
      <c r="B1031" s="1">
        <v>4</v>
      </c>
      <c r="C1031" s="1" t="s">
        <v>5</v>
      </c>
      <c r="D1031" s="1" t="s">
        <v>9</v>
      </c>
      <c r="E1031" s="1">
        <v>6.8127889633178702</v>
      </c>
      <c r="F1031" s="1">
        <f>Tabla1[[#This Row],[tiempo]]/(IF(Tabla1[[#This Row],[tamanho]]=$I$3,$L$3,IF(Tabla1[[#This Row],[tamanho]]=$I$4,$L$4,IF(Tabla1[[#This Row],[tamanho]]=$I$5,$L$5,IF(Tabla1[[#This Row],[tamanho]]=$I$6,$L$6,0))))*IF(C1031="8_1",9,25))</f>
        <v>1.0287761146390588E-6</v>
      </c>
    </row>
    <row r="1032" spans="1:6" ht="12.75" x14ac:dyDescent="0.2">
      <c r="A1032" s="1">
        <v>42</v>
      </c>
      <c r="B1032" s="1">
        <v>4</v>
      </c>
      <c r="C1032" s="1" t="s">
        <v>7</v>
      </c>
      <c r="D1032" s="1" t="s">
        <v>9</v>
      </c>
      <c r="E1032" s="1">
        <v>7.6067829132079998</v>
      </c>
      <c r="F1032" s="1">
        <f>Tabla1[[#This Row],[tiempo]]/(IF(Tabla1[[#This Row],[tamanho]]=$I$3,$L$3,IF(Tabla1[[#This Row],[tamanho]]=$I$4,$L$4,IF(Tabla1[[#This Row],[tamanho]]=$I$5,$L$5,IF(Tabla1[[#This Row],[tamanho]]=$I$6,$L$6,0))))*IF(C1032="8_1",9,25))</f>
        <v>4.1352279961935462E-7</v>
      </c>
    </row>
    <row r="1033" spans="1:6" ht="12.75" x14ac:dyDescent="0.2">
      <c r="A1033" s="1">
        <v>42</v>
      </c>
      <c r="B1033" s="1">
        <v>4</v>
      </c>
      <c r="C1033" s="1" t="s">
        <v>8</v>
      </c>
      <c r="D1033" s="1" t="s">
        <v>9</v>
      </c>
      <c r="E1033" s="1">
        <v>7.6867818832397399</v>
      </c>
      <c r="F1033" s="1">
        <f>Tabla1[[#This Row],[tiempo]]/(IF(Tabla1[[#This Row],[tamanho]]=$I$3,$L$3,IF(Tabla1[[#This Row],[tamanho]]=$I$4,$L$4,IF(Tabla1[[#This Row],[tamanho]]=$I$5,$L$5,IF(Tabla1[[#This Row],[tamanho]]=$I$6,$L$6,0))))*IF(C1033="8_1",9,25))</f>
        <v>4.1787173377872827E-7</v>
      </c>
    </row>
    <row r="1034" spans="1:6" ht="12.75" x14ac:dyDescent="0.2">
      <c r="A1034" s="1">
        <v>43</v>
      </c>
      <c r="B1034" s="1">
        <v>1</v>
      </c>
      <c r="C1034" s="1" t="s">
        <v>5</v>
      </c>
      <c r="D1034" s="1" t="s">
        <v>6</v>
      </c>
      <c r="E1034" s="1">
        <v>0.40460515022277799</v>
      </c>
      <c r="F1034" s="1">
        <f>Tabla1[[#This Row],[tiempo]]/(IF(Tabla1[[#This Row],[tamanho]]=$I$3,$L$3,IF(Tabla1[[#This Row],[tamanho]]=$I$4,$L$4,IF(Tabla1[[#This Row],[tamanho]]=$I$5,$L$5,IF(Tabla1[[#This Row],[tamanho]]=$I$6,$L$6,0))))*IF(C1034="8_1",9,25))</f>
        <v>1.6674503098004855E-6</v>
      </c>
    </row>
    <row r="1035" spans="1:6" ht="12.75" x14ac:dyDescent="0.2">
      <c r="A1035" s="1">
        <v>43</v>
      </c>
      <c r="B1035" s="1">
        <v>1</v>
      </c>
      <c r="C1035" s="1" t="s">
        <v>7</v>
      </c>
      <c r="D1035" s="1" t="s">
        <v>6</v>
      </c>
      <c r="E1035" s="1">
        <v>0.452743530273437</v>
      </c>
      <c r="F1035" s="1">
        <f>Tabla1[[#This Row],[tiempo]]/(IF(Tabla1[[#This Row],[tamanho]]=$I$3,$L$3,IF(Tabla1[[#This Row],[tamanho]]=$I$4,$L$4,IF(Tabla1[[#This Row],[tamanho]]=$I$5,$L$5,IF(Tabla1[[#This Row],[tamanho]]=$I$6,$L$6,0))))*IF(C1035="8_1",9,25))</f>
        <v>6.7170139130364154E-7</v>
      </c>
    </row>
    <row r="1036" spans="1:6" ht="12.75" x14ac:dyDescent="0.2">
      <c r="A1036" s="1">
        <v>43</v>
      </c>
      <c r="B1036" s="1">
        <v>1</v>
      </c>
      <c r="C1036" s="1" t="s">
        <v>8</v>
      </c>
      <c r="D1036" s="1" t="s">
        <v>6</v>
      </c>
      <c r="E1036" s="1">
        <v>0.45606923103332497</v>
      </c>
      <c r="F1036" s="1">
        <f>Tabla1[[#This Row],[tiempo]]/(IF(Tabla1[[#This Row],[tamanho]]=$I$3,$L$3,IF(Tabla1[[#This Row],[tamanho]]=$I$4,$L$4,IF(Tabla1[[#This Row],[tamanho]]=$I$5,$L$5,IF(Tabla1[[#This Row],[tamanho]]=$I$6,$L$6,0))))*IF(C1036="8_1",9,25))</f>
        <v>6.7663548241285558E-7</v>
      </c>
    </row>
    <row r="1037" spans="1:6" ht="12.75" x14ac:dyDescent="0.2">
      <c r="A1037" s="1">
        <v>43</v>
      </c>
      <c r="B1037" s="1">
        <v>1</v>
      </c>
      <c r="C1037" s="1" t="s">
        <v>5</v>
      </c>
      <c r="D1037" s="1" t="s">
        <v>9</v>
      </c>
      <c r="E1037" s="1">
        <v>0.40258359909057601</v>
      </c>
      <c r="F1037" s="1">
        <f>Tabla1[[#This Row],[tiempo]]/(IF(Tabla1[[#This Row],[tamanho]]=$I$3,$L$3,IF(Tabla1[[#This Row],[tamanho]]=$I$4,$L$4,IF(Tabla1[[#This Row],[tamanho]]=$I$5,$L$5,IF(Tabla1[[#This Row],[tamanho]]=$I$6,$L$6,0))))*IF(C1037="8_1",9,25))</f>
        <v>1.6591191354201995E-6</v>
      </c>
    </row>
    <row r="1038" spans="1:6" ht="12.75" x14ac:dyDescent="0.2">
      <c r="A1038" s="1">
        <v>43</v>
      </c>
      <c r="B1038" s="1">
        <v>1</v>
      </c>
      <c r="C1038" s="1" t="s">
        <v>7</v>
      </c>
      <c r="D1038" s="1" t="s">
        <v>9</v>
      </c>
      <c r="E1038" s="1">
        <v>0.45247650146484297</v>
      </c>
      <c r="F1038" s="1">
        <f>Tabla1[[#This Row],[tiempo]]/(IF(Tabla1[[#This Row],[tamanho]]=$I$3,$L$3,IF(Tabla1[[#This Row],[tamanho]]=$I$4,$L$4,IF(Tabla1[[#This Row],[tamanho]]=$I$5,$L$5,IF(Tabla1[[#This Row],[tamanho]]=$I$6,$L$6,0))))*IF(C1038="8_1",9,25))</f>
        <v>6.7130522082243682E-7</v>
      </c>
    </row>
    <row r="1039" spans="1:6" ht="12.75" x14ac:dyDescent="0.2">
      <c r="A1039" s="1">
        <v>43</v>
      </c>
      <c r="B1039" s="1">
        <v>1</v>
      </c>
      <c r="C1039" s="1" t="s">
        <v>8</v>
      </c>
      <c r="D1039" s="1" t="s">
        <v>9</v>
      </c>
      <c r="E1039" s="1">
        <v>0.458733320236206</v>
      </c>
      <c r="F1039" s="1">
        <f>Tabla1[[#This Row],[tiempo]]/(IF(Tabla1[[#This Row],[tamanho]]=$I$3,$L$3,IF(Tabla1[[#This Row],[tamanho]]=$I$4,$L$4,IF(Tabla1[[#This Row],[tamanho]]=$I$5,$L$5,IF(Tabla1[[#This Row],[tamanho]]=$I$6,$L$6,0))))*IF(C1039="8_1",9,25))</f>
        <v>6.8058799041015691E-7</v>
      </c>
    </row>
    <row r="1040" spans="1:6" ht="12.75" x14ac:dyDescent="0.2">
      <c r="A1040" s="1">
        <v>43</v>
      </c>
      <c r="B1040" s="1">
        <v>2</v>
      </c>
      <c r="C1040" s="1" t="s">
        <v>5</v>
      </c>
      <c r="D1040" s="1" t="s">
        <v>6</v>
      </c>
      <c r="E1040" s="1">
        <v>1.6667940616607599</v>
      </c>
      <c r="F1040" s="1">
        <f>Tabla1[[#This Row],[tiempo]]/(IF(Tabla1[[#This Row],[tamanho]]=$I$3,$L$3,IF(Tabla1[[#This Row],[tamanho]]=$I$4,$L$4,IF(Tabla1[[#This Row],[tamanho]]=$I$5,$L$5,IF(Tabla1[[#This Row],[tamanho]]=$I$6,$L$6,0))))*IF(C1040="8_1",9,25))</f>
        <v>1.0091397226737333E-6</v>
      </c>
    </row>
    <row r="1041" spans="1:6" ht="12.75" x14ac:dyDescent="0.2">
      <c r="A1041" s="1">
        <v>43</v>
      </c>
      <c r="B1041" s="1">
        <v>2</v>
      </c>
      <c r="C1041" s="1" t="s">
        <v>7</v>
      </c>
      <c r="D1041" s="1" t="s">
        <v>6</v>
      </c>
      <c r="E1041" s="1">
        <v>1.87369060516357</v>
      </c>
      <c r="F1041" s="1">
        <f>Tabla1[[#This Row],[tiempo]]/(IF(Tabla1[[#This Row],[tamanho]]=$I$3,$L$3,IF(Tabla1[[#This Row],[tamanho]]=$I$4,$L$4,IF(Tabla1[[#This Row],[tamanho]]=$I$5,$L$5,IF(Tabla1[[#This Row],[tamanho]]=$I$6,$L$6,0))))*IF(C1041="8_1",9,25))</f>
        <v>4.0838495769740303E-7</v>
      </c>
    </row>
    <row r="1042" spans="1:6" ht="12.75" x14ac:dyDescent="0.2">
      <c r="A1042" s="1">
        <v>43</v>
      </c>
      <c r="B1042" s="1">
        <v>2</v>
      </c>
      <c r="C1042" s="1" t="s">
        <v>8</v>
      </c>
      <c r="D1042" s="1" t="s">
        <v>6</v>
      </c>
      <c r="E1042" s="1">
        <v>1.8822283744812001</v>
      </c>
      <c r="F1042" s="1">
        <f>Tabla1[[#This Row],[tiempo]]/(IF(Tabla1[[#This Row],[tamanho]]=$I$3,$L$3,IF(Tabla1[[#This Row],[tamanho]]=$I$4,$L$4,IF(Tabla1[[#This Row],[tamanho]]=$I$5,$L$5,IF(Tabla1[[#This Row],[tamanho]]=$I$6,$L$6,0))))*IF(C1042="8_1",9,25))</f>
        <v>4.1024582872488314E-7</v>
      </c>
    </row>
    <row r="1043" spans="1:6" ht="12.75" x14ac:dyDescent="0.2">
      <c r="A1043" s="1">
        <v>43</v>
      </c>
      <c r="B1043" s="1">
        <v>2</v>
      </c>
      <c r="C1043" s="1" t="s">
        <v>5</v>
      </c>
      <c r="D1043" s="1" t="s">
        <v>9</v>
      </c>
      <c r="E1043" s="1">
        <v>1.6762602329254099</v>
      </c>
      <c r="F1043" s="1">
        <f>Tabla1[[#This Row],[tiempo]]/(IF(Tabla1[[#This Row],[tamanho]]=$I$3,$L$3,IF(Tabla1[[#This Row],[tamanho]]=$I$4,$L$4,IF(Tabla1[[#This Row],[tamanho]]=$I$5,$L$5,IF(Tabla1[[#This Row],[tamanho]]=$I$6,$L$6,0))))*IF(C1043="8_1",9,25))</f>
        <v>1.0148708982667594E-6</v>
      </c>
    </row>
    <row r="1044" spans="1:6" ht="12.75" x14ac:dyDescent="0.2">
      <c r="A1044" s="1">
        <v>43</v>
      </c>
      <c r="B1044" s="1">
        <v>2</v>
      </c>
      <c r="C1044" s="1" t="s">
        <v>7</v>
      </c>
      <c r="D1044" s="1" t="s">
        <v>9</v>
      </c>
      <c r="E1044" s="1">
        <v>1.8691053390502901</v>
      </c>
      <c r="F1044" s="1">
        <f>Tabla1[[#This Row],[tiempo]]/(IF(Tabla1[[#This Row],[tamanho]]=$I$3,$L$3,IF(Tabla1[[#This Row],[tamanho]]=$I$4,$L$4,IF(Tabla1[[#This Row],[tamanho]]=$I$5,$L$5,IF(Tabla1[[#This Row],[tamanho]]=$I$6,$L$6,0))))*IF(C1044="8_1",9,25))</f>
        <v>4.0738556446644871E-7</v>
      </c>
    </row>
    <row r="1045" spans="1:6" ht="12.75" x14ac:dyDescent="0.2">
      <c r="A1045" s="1">
        <v>43</v>
      </c>
      <c r="B1045" s="1">
        <v>2</v>
      </c>
      <c r="C1045" s="1" t="s">
        <v>8</v>
      </c>
      <c r="D1045" s="1" t="s">
        <v>9</v>
      </c>
      <c r="E1045" s="1">
        <v>1.8911707401275599</v>
      </c>
      <c r="F1045" s="1">
        <f>Tabla1[[#This Row],[tiempo]]/(IF(Tabla1[[#This Row],[tamanho]]=$I$3,$L$3,IF(Tabla1[[#This Row],[tamanho]]=$I$4,$L$4,IF(Tabla1[[#This Row],[tamanho]]=$I$5,$L$5,IF(Tabla1[[#This Row],[tamanho]]=$I$6,$L$6,0))))*IF(C1045="8_1",9,25))</f>
        <v>4.1219488456480641E-7</v>
      </c>
    </row>
    <row r="1046" spans="1:6" ht="12.75" x14ac:dyDescent="0.2">
      <c r="A1046" s="1">
        <v>43</v>
      </c>
      <c r="B1046" s="1">
        <v>3</v>
      </c>
      <c r="C1046" s="1" t="s">
        <v>5</v>
      </c>
      <c r="D1046" s="1" t="s">
        <v>6</v>
      </c>
      <c r="E1046" s="1">
        <v>3.7919781208038299</v>
      </c>
      <c r="F1046" s="1">
        <f>Tabla1[[#This Row],[tiempo]]/(IF(Tabla1[[#This Row],[tamanho]]=$I$3,$L$3,IF(Tabla1[[#This Row],[tamanho]]=$I$4,$L$4,IF(Tabla1[[#This Row],[tamanho]]=$I$5,$L$5,IF(Tabla1[[#This Row],[tamanho]]=$I$6,$L$6,0))))*IF(C1046="8_1",9,25))</f>
        <v>1.0195471111196693E-6</v>
      </c>
    </row>
    <row r="1047" spans="1:6" ht="12.75" x14ac:dyDescent="0.2">
      <c r="A1047" s="1">
        <v>43</v>
      </c>
      <c r="B1047" s="1">
        <v>3</v>
      </c>
      <c r="C1047" s="1" t="s">
        <v>7</v>
      </c>
      <c r="D1047" s="1" t="s">
        <v>6</v>
      </c>
      <c r="E1047" s="1">
        <v>4.2499766349792401</v>
      </c>
      <c r="F1047" s="1">
        <f>Tabla1[[#This Row],[tiempo]]/(IF(Tabla1[[#This Row],[tamanho]]=$I$3,$L$3,IF(Tabla1[[#This Row],[tamanho]]=$I$4,$L$4,IF(Tabla1[[#This Row],[tamanho]]=$I$5,$L$5,IF(Tabla1[[#This Row],[tamanho]]=$I$6,$L$6,0))))*IF(C1047="8_1",9,25))</f>
        <v>4.1136801281338456E-7</v>
      </c>
    </row>
    <row r="1048" spans="1:6" ht="12.75" x14ac:dyDescent="0.2">
      <c r="A1048" s="1">
        <v>43</v>
      </c>
      <c r="B1048" s="1">
        <v>3</v>
      </c>
      <c r="C1048" s="1" t="s">
        <v>8</v>
      </c>
      <c r="D1048" s="1" t="s">
        <v>6</v>
      </c>
      <c r="E1048" s="1">
        <v>4.2932200431823704</v>
      </c>
      <c r="F1048" s="1">
        <f>Tabla1[[#This Row],[tiempo]]/(IF(Tabla1[[#This Row],[tamanho]]=$I$3,$L$3,IF(Tabla1[[#This Row],[tamanho]]=$I$4,$L$4,IF(Tabla1[[#This Row],[tamanho]]=$I$5,$L$5,IF(Tabla1[[#This Row],[tamanho]]=$I$6,$L$6,0))))*IF(C1048="8_1",9,25))</f>
        <v>4.155536722716951E-7</v>
      </c>
    </row>
    <row r="1049" spans="1:6" ht="12.75" x14ac:dyDescent="0.2">
      <c r="A1049" s="1">
        <v>43</v>
      </c>
      <c r="B1049" s="1">
        <v>3</v>
      </c>
      <c r="C1049" s="1" t="s">
        <v>5</v>
      </c>
      <c r="D1049" s="1" t="s">
        <v>9</v>
      </c>
      <c r="E1049" s="1">
        <v>3.8157243728637602</v>
      </c>
      <c r="F1049" s="1">
        <f>Tabla1[[#This Row],[tiempo]]/(IF(Tabla1[[#This Row],[tamanho]]=$I$3,$L$3,IF(Tabla1[[#This Row],[tamanho]]=$I$4,$L$4,IF(Tabla1[[#This Row],[tamanho]]=$I$5,$L$5,IF(Tabla1[[#This Row],[tamanho]]=$I$6,$L$6,0))))*IF(C1049="8_1",9,25))</f>
        <v>1.0259317530971101E-6</v>
      </c>
    </row>
    <row r="1050" spans="1:6" ht="12.75" x14ac:dyDescent="0.2">
      <c r="A1050" s="1">
        <v>43</v>
      </c>
      <c r="B1050" s="1">
        <v>3</v>
      </c>
      <c r="C1050" s="1" t="s">
        <v>7</v>
      </c>
      <c r="D1050" s="1" t="s">
        <v>9</v>
      </c>
      <c r="E1050" s="1">
        <v>4.2474486827850297</v>
      </c>
      <c r="F1050" s="1">
        <f>Tabla1[[#This Row],[tiempo]]/(IF(Tabla1[[#This Row],[tamanho]]=$I$3,$L$3,IF(Tabla1[[#This Row],[tamanho]]=$I$4,$L$4,IF(Tabla1[[#This Row],[tamanho]]=$I$5,$L$5,IF(Tabla1[[#This Row],[tamanho]]=$I$6,$L$6,0))))*IF(C1050="8_1",9,25))</f>
        <v>4.1112332472214644E-7</v>
      </c>
    </row>
    <row r="1051" spans="1:6" ht="12.75" x14ac:dyDescent="0.2">
      <c r="A1051" s="1">
        <v>43</v>
      </c>
      <c r="B1051" s="1">
        <v>3</v>
      </c>
      <c r="C1051" s="1" t="s">
        <v>8</v>
      </c>
      <c r="D1051" s="1" t="s">
        <v>9</v>
      </c>
      <c r="E1051" s="1">
        <v>4.3183085918426496</v>
      </c>
      <c r="F1051" s="1">
        <f>Tabla1[[#This Row],[tiempo]]/(IF(Tabla1[[#This Row],[tamanho]]=$I$3,$L$3,IF(Tabla1[[#This Row],[tamanho]]=$I$4,$L$4,IF(Tabla1[[#This Row],[tamanho]]=$I$5,$L$5,IF(Tabla1[[#This Row],[tamanho]]=$I$6,$L$6,0))))*IF(C1051="8_1",9,25))</f>
        <v>4.179820683061127E-7</v>
      </c>
    </row>
    <row r="1052" spans="1:6" ht="12.75" x14ac:dyDescent="0.2">
      <c r="A1052" s="1">
        <v>43</v>
      </c>
      <c r="B1052" s="1">
        <v>4</v>
      </c>
      <c r="C1052" s="1" t="s">
        <v>5</v>
      </c>
      <c r="D1052" s="1" t="s">
        <v>6</v>
      </c>
      <c r="E1052" s="1">
        <v>6.8870174884796098</v>
      </c>
      <c r="F1052" s="1">
        <f>Tabla1[[#This Row],[tiempo]]/(IF(Tabla1[[#This Row],[tamanho]]=$I$3,$L$3,IF(Tabla1[[#This Row],[tamanho]]=$I$4,$L$4,IF(Tabla1[[#This Row],[tamanho]]=$I$5,$L$5,IF(Tabla1[[#This Row],[tamanho]]=$I$6,$L$6,0))))*IF(C1052="8_1",9,25))</f>
        <v>1.0399851120294744E-6</v>
      </c>
    </row>
    <row r="1053" spans="1:6" ht="12.75" x14ac:dyDescent="0.2">
      <c r="A1053" s="1">
        <v>43</v>
      </c>
      <c r="B1053" s="1">
        <v>4</v>
      </c>
      <c r="C1053" s="1" t="s">
        <v>7</v>
      </c>
      <c r="D1053" s="1" t="s">
        <v>6</v>
      </c>
      <c r="E1053" s="1">
        <v>7.70910573005676</v>
      </c>
      <c r="F1053" s="1">
        <f>Tabla1[[#This Row],[tiempo]]/(IF(Tabla1[[#This Row],[tamanho]]=$I$3,$L$3,IF(Tabla1[[#This Row],[tamanho]]=$I$4,$L$4,IF(Tabla1[[#This Row],[tamanho]]=$I$5,$L$5,IF(Tabla1[[#This Row],[tamanho]]=$I$6,$L$6,0))))*IF(C1053="8_1",9,25))</f>
        <v>4.1908531115294499E-7</v>
      </c>
    </row>
    <row r="1054" spans="1:6" ht="12.75" x14ac:dyDescent="0.2">
      <c r="A1054" s="1">
        <v>43</v>
      </c>
      <c r="B1054" s="1">
        <v>4</v>
      </c>
      <c r="C1054" s="1" t="s">
        <v>8</v>
      </c>
      <c r="D1054" s="1" t="s">
        <v>6</v>
      </c>
      <c r="E1054" s="1">
        <v>7.7066321372985804</v>
      </c>
      <c r="F1054" s="1">
        <f>Tabla1[[#This Row],[tiempo]]/(IF(Tabla1[[#This Row],[tamanho]]=$I$3,$L$3,IF(Tabla1[[#This Row],[tamanho]]=$I$4,$L$4,IF(Tabla1[[#This Row],[tamanho]]=$I$5,$L$5,IF(Tabla1[[#This Row],[tamanho]]=$I$6,$L$6,0))))*IF(C1054="8_1",9,25))</f>
        <v>4.1895084077116188E-7</v>
      </c>
    </row>
    <row r="1055" spans="1:6" ht="12.75" x14ac:dyDescent="0.2">
      <c r="A1055" s="1">
        <v>43</v>
      </c>
      <c r="B1055" s="1">
        <v>4</v>
      </c>
      <c r="C1055" s="1" t="s">
        <v>5</v>
      </c>
      <c r="D1055" s="1" t="s">
        <v>9</v>
      </c>
      <c r="E1055" s="1">
        <v>6.88710141181945</v>
      </c>
      <c r="F1055" s="1">
        <f>Tabla1[[#This Row],[tiempo]]/(IF(Tabla1[[#This Row],[tamanho]]=$I$3,$L$3,IF(Tabla1[[#This Row],[tamanho]]=$I$4,$L$4,IF(Tabla1[[#This Row],[tamanho]]=$I$5,$L$5,IF(Tabla1[[#This Row],[tamanho]]=$I$6,$L$6,0))))*IF(C1055="8_1",9,25))</f>
        <v>1.0399977850078909E-6</v>
      </c>
    </row>
    <row r="1056" spans="1:6" ht="12.75" x14ac:dyDescent="0.2">
      <c r="A1056" s="1">
        <v>43</v>
      </c>
      <c r="B1056" s="1">
        <v>4</v>
      </c>
      <c r="C1056" s="1" t="s">
        <v>7</v>
      </c>
      <c r="D1056" s="1" t="s">
        <v>9</v>
      </c>
      <c r="E1056" s="1">
        <v>7.7277076244354204</v>
      </c>
      <c r="F1056" s="1">
        <f>Tabla1[[#This Row],[tiempo]]/(IF(Tabla1[[#This Row],[tamanho]]=$I$3,$L$3,IF(Tabla1[[#This Row],[tamanho]]=$I$4,$L$4,IF(Tabla1[[#This Row],[tamanho]]=$I$5,$L$5,IF(Tabla1[[#This Row],[tamanho]]=$I$6,$L$6,0))))*IF(C1056="8_1",9,25))</f>
        <v>4.200965543459551E-7</v>
      </c>
    </row>
    <row r="1057" spans="1:6" ht="12.75" x14ac:dyDescent="0.2">
      <c r="A1057" s="1">
        <v>43</v>
      </c>
      <c r="B1057" s="1">
        <v>4</v>
      </c>
      <c r="C1057" s="1" t="s">
        <v>8</v>
      </c>
      <c r="D1057" s="1" t="s">
        <v>9</v>
      </c>
      <c r="E1057" s="1">
        <v>7.7749872207641602</v>
      </c>
      <c r="F1057" s="1">
        <f>Tabla1[[#This Row],[tiempo]]/(IF(Tabla1[[#This Row],[tamanho]]=$I$3,$L$3,IF(Tabla1[[#This Row],[tamanho]]=$I$4,$L$4,IF(Tabla1[[#This Row],[tamanho]]=$I$5,$L$5,IF(Tabla1[[#This Row],[tamanho]]=$I$6,$L$6,0))))*IF(C1057="8_1",9,25))</f>
        <v>4.2266678558060567E-7</v>
      </c>
    </row>
    <row r="1058" spans="1:6" ht="12.75" x14ac:dyDescent="0.2">
      <c r="A1058" s="1">
        <v>44</v>
      </c>
      <c r="B1058" s="1">
        <v>1</v>
      </c>
      <c r="C1058" s="1" t="s">
        <v>5</v>
      </c>
      <c r="D1058" s="1" t="s">
        <v>6</v>
      </c>
      <c r="E1058" s="1">
        <v>0.40188169479370101</v>
      </c>
      <c r="F1058" s="1">
        <f>Tabla1[[#This Row],[tiempo]]/(IF(Tabla1[[#This Row],[tamanho]]=$I$3,$L$3,IF(Tabla1[[#This Row],[tamanho]]=$I$4,$L$4,IF(Tabla1[[#This Row],[tamanho]]=$I$5,$L$5,IF(Tabla1[[#This Row],[tamanho]]=$I$6,$L$6,0))))*IF(C1058="8_1",9,25))</f>
        <v>1.6562264620653742E-6</v>
      </c>
    </row>
    <row r="1059" spans="1:6" ht="12.75" x14ac:dyDescent="0.2">
      <c r="A1059" s="1">
        <v>44</v>
      </c>
      <c r="B1059" s="1">
        <v>1</v>
      </c>
      <c r="C1059" s="1" t="s">
        <v>7</v>
      </c>
      <c r="D1059" s="1" t="s">
        <v>6</v>
      </c>
      <c r="E1059" s="1">
        <v>0.45021677017211897</v>
      </c>
      <c r="F1059" s="1">
        <f>Tabla1[[#This Row],[tiempo]]/(IF(Tabla1[[#This Row],[tamanho]]=$I$3,$L$3,IF(Tabla1[[#This Row],[tamanho]]=$I$4,$L$4,IF(Tabla1[[#This Row],[tamanho]]=$I$5,$L$5,IF(Tabla1[[#This Row],[tamanho]]=$I$6,$L$6,0))))*IF(C1059="8_1",9,25))</f>
        <v>6.679526281252461E-7</v>
      </c>
    </row>
    <row r="1060" spans="1:6" ht="12.75" x14ac:dyDescent="0.2">
      <c r="A1060" s="1">
        <v>44</v>
      </c>
      <c r="B1060" s="1">
        <v>1</v>
      </c>
      <c r="C1060" s="1" t="s">
        <v>8</v>
      </c>
      <c r="D1060" s="1" t="s">
        <v>6</v>
      </c>
      <c r="E1060" s="1">
        <v>0.45636653900146401</v>
      </c>
      <c r="F1060" s="1">
        <f>Tabla1[[#This Row],[tiempo]]/(IF(Tabla1[[#This Row],[tamanho]]=$I$3,$L$3,IF(Tabla1[[#This Row],[tamanho]]=$I$4,$L$4,IF(Tabla1[[#This Row],[tamanho]]=$I$5,$L$5,IF(Tabla1[[#This Row],[tamanho]]=$I$6,$L$6,0))))*IF(C1060="8_1",9,25))</f>
        <v>6.770765757968384E-7</v>
      </c>
    </row>
    <row r="1061" spans="1:6" ht="12.75" x14ac:dyDescent="0.2">
      <c r="A1061" s="1">
        <v>44</v>
      </c>
      <c r="B1061" s="1">
        <v>1</v>
      </c>
      <c r="C1061" s="1" t="s">
        <v>5</v>
      </c>
      <c r="D1061" s="1" t="s">
        <v>9</v>
      </c>
      <c r="E1061" s="1">
        <v>0.40448021888732899</v>
      </c>
      <c r="F1061" s="1">
        <f>Tabla1[[#This Row],[tiempo]]/(IF(Tabla1[[#This Row],[tamanho]]=$I$3,$L$3,IF(Tabla1[[#This Row],[tamanho]]=$I$4,$L$4,IF(Tabla1[[#This Row],[tamanho]]=$I$5,$L$5,IF(Tabla1[[#This Row],[tamanho]]=$I$6,$L$6,0))))*IF(C1061="8_1",9,25))</f>
        <v>1.666935445385429E-6</v>
      </c>
    </row>
    <row r="1062" spans="1:6" ht="12.75" x14ac:dyDescent="0.2">
      <c r="A1062" s="1">
        <v>44</v>
      </c>
      <c r="B1062" s="1">
        <v>1</v>
      </c>
      <c r="C1062" s="1" t="s">
        <v>7</v>
      </c>
      <c r="D1062" s="1" t="s">
        <v>9</v>
      </c>
      <c r="E1062" s="1">
        <v>0.45164036750793402</v>
      </c>
      <c r="F1062" s="1">
        <f>Tabla1[[#This Row],[tiempo]]/(IF(Tabla1[[#This Row],[tamanho]]=$I$3,$L$3,IF(Tabla1[[#This Row],[tamanho]]=$I$4,$L$4,IF(Tabla1[[#This Row],[tamanho]]=$I$5,$L$5,IF(Tabla1[[#This Row],[tamanho]]=$I$6,$L$6,0))))*IF(C1062="8_1",9,25))</f>
        <v>6.7006471200316605E-7</v>
      </c>
    </row>
    <row r="1063" spans="1:6" ht="12.75" x14ac:dyDescent="0.2">
      <c r="A1063" s="1">
        <v>44</v>
      </c>
      <c r="B1063" s="1">
        <v>1</v>
      </c>
      <c r="C1063" s="1" t="s">
        <v>8</v>
      </c>
      <c r="D1063" s="1" t="s">
        <v>9</v>
      </c>
      <c r="E1063" s="1">
        <v>0.45959210395812899</v>
      </c>
      <c r="F1063" s="1">
        <f>Tabla1[[#This Row],[tiempo]]/(IF(Tabla1[[#This Row],[tamanho]]=$I$3,$L$3,IF(Tabla1[[#This Row],[tamanho]]=$I$4,$L$4,IF(Tabla1[[#This Row],[tamanho]]=$I$5,$L$5,IF(Tabla1[[#This Row],[tamanho]]=$I$6,$L$6,0))))*IF(C1063="8_1",9,25))</f>
        <v>6.8186210297560031E-7</v>
      </c>
    </row>
    <row r="1064" spans="1:6" ht="12.75" x14ac:dyDescent="0.2">
      <c r="A1064" s="1">
        <v>44</v>
      </c>
      <c r="B1064" s="1">
        <v>2</v>
      </c>
      <c r="C1064" s="1" t="s">
        <v>5</v>
      </c>
      <c r="D1064" s="1" t="s">
        <v>6</v>
      </c>
      <c r="E1064" s="1">
        <v>1.6597273349761901</v>
      </c>
      <c r="F1064" s="1">
        <f>Tabla1[[#This Row],[tiempo]]/(IF(Tabla1[[#This Row],[tamanho]]=$I$3,$L$3,IF(Tabla1[[#This Row],[tamanho]]=$I$4,$L$4,IF(Tabla1[[#This Row],[tamanho]]=$I$5,$L$5,IF(Tabla1[[#This Row],[tamanho]]=$I$6,$L$6,0))))*IF(C1064="8_1",9,25))</f>
        <v>1.0048612609424908E-6</v>
      </c>
    </row>
    <row r="1065" spans="1:6" ht="12.75" x14ac:dyDescent="0.2">
      <c r="A1065" s="1">
        <v>44</v>
      </c>
      <c r="B1065" s="1">
        <v>2</v>
      </c>
      <c r="C1065" s="1" t="s">
        <v>7</v>
      </c>
      <c r="D1065" s="1" t="s">
        <v>6</v>
      </c>
      <c r="E1065" s="1">
        <v>1.8640761375427199</v>
      </c>
      <c r="F1065" s="1">
        <f>Tabla1[[#This Row],[tiempo]]/(IF(Tabla1[[#This Row],[tamanho]]=$I$3,$L$3,IF(Tabla1[[#This Row],[tamanho]]=$I$4,$L$4,IF(Tabla1[[#This Row],[tamanho]]=$I$5,$L$5,IF(Tabla1[[#This Row],[tamanho]]=$I$6,$L$6,0))))*IF(C1065="8_1",9,25))</f>
        <v>4.0628941217787946E-7</v>
      </c>
    </row>
    <row r="1066" spans="1:6" ht="12.75" x14ac:dyDescent="0.2">
      <c r="A1066" s="1">
        <v>44</v>
      </c>
      <c r="B1066" s="1">
        <v>2</v>
      </c>
      <c r="C1066" s="1" t="s">
        <v>8</v>
      </c>
      <c r="D1066" s="1" t="s">
        <v>6</v>
      </c>
      <c r="E1066" s="1">
        <v>1.87463903427124</v>
      </c>
      <c r="F1066" s="1">
        <f>Tabla1[[#This Row],[tiempo]]/(IF(Tabla1[[#This Row],[tamanho]]=$I$3,$L$3,IF(Tabla1[[#This Row],[tamanho]]=$I$4,$L$4,IF(Tabla1[[#This Row],[tamanho]]=$I$5,$L$5,IF(Tabla1[[#This Row],[tamanho]]=$I$6,$L$6,0))))*IF(C1066="8_1",9,25))</f>
        <v>4.0859167495368183E-7</v>
      </c>
    </row>
    <row r="1067" spans="1:6" ht="12.75" x14ac:dyDescent="0.2">
      <c r="A1067" s="1">
        <v>44</v>
      </c>
      <c r="B1067" s="1">
        <v>2</v>
      </c>
      <c r="C1067" s="1" t="s">
        <v>5</v>
      </c>
      <c r="D1067" s="1" t="s">
        <v>9</v>
      </c>
      <c r="E1067" s="1">
        <v>1.6657624244689899</v>
      </c>
      <c r="F1067" s="1">
        <f>Tabla1[[#This Row],[tiempo]]/(IF(Tabla1[[#This Row],[tamanho]]=$I$3,$L$3,IF(Tabla1[[#This Row],[tamanho]]=$I$4,$L$4,IF(Tabla1[[#This Row],[tamanho]]=$I$5,$L$5,IF(Tabla1[[#This Row],[tamanho]]=$I$6,$L$6,0))))*IF(C1067="8_1",9,25))</f>
        <v>1.0085151307739005E-6</v>
      </c>
    </row>
    <row r="1068" spans="1:6" ht="12.75" x14ac:dyDescent="0.2">
      <c r="A1068" s="1">
        <v>44</v>
      </c>
      <c r="B1068" s="1">
        <v>2</v>
      </c>
      <c r="C1068" s="1" t="s">
        <v>7</v>
      </c>
      <c r="D1068" s="1" t="s">
        <v>9</v>
      </c>
      <c r="E1068" s="1">
        <v>1.86573481559753</v>
      </c>
      <c r="F1068" s="1">
        <f>Tabla1[[#This Row],[tiempo]]/(IF(Tabla1[[#This Row],[tamanho]]=$I$3,$L$3,IF(Tabla1[[#This Row],[tamanho]]=$I$4,$L$4,IF(Tabla1[[#This Row],[tamanho]]=$I$5,$L$5,IF(Tabla1[[#This Row],[tamanho]]=$I$6,$L$6,0))))*IF(C1068="8_1",9,25))</f>
        <v>4.0665093353331587E-7</v>
      </c>
    </row>
    <row r="1069" spans="1:6" ht="12.75" x14ac:dyDescent="0.2">
      <c r="A1069" s="1">
        <v>44</v>
      </c>
      <c r="B1069" s="1">
        <v>2</v>
      </c>
      <c r="C1069" s="1" t="s">
        <v>8</v>
      </c>
      <c r="D1069" s="1" t="s">
        <v>9</v>
      </c>
      <c r="E1069" s="1">
        <v>1.9418511390686</v>
      </c>
      <c r="F1069" s="1">
        <f>Tabla1[[#This Row],[tiempo]]/(IF(Tabla1[[#This Row],[tamanho]]=$I$3,$L$3,IF(Tabla1[[#This Row],[tamanho]]=$I$4,$L$4,IF(Tabla1[[#This Row],[tamanho]]=$I$5,$L$5,IF(Tabla1[[#This Row],[tamanho]]=$I$6,$L$6,0))))*IF(C1069="8_1",9,25))</f>
        <v>4.2324105863462689E-7</v>
      </c>
    </row>
    <row r="1070" spans="1:6" ht="12.75" x14ac:dyDescent="0.2">
      <c r="A1070" s="1">
        <v>44</v>
      </c>
      <c r="B1070" s="1">
        <v>3</v>
      </c>
      <c r="C1070" s="1" t="s">
        <v>5</v>
      </c>
      <c r="D1070" s="1" t="s">
        <v>6</v>
      </c>
      <c r="E1070" s="1">
        <v>3.82777619361877</v>
      </c>
      <c r="F1070" s="1">
        <f>Tabla1[[#This Row],[tiempo]]/(IF(Tabla1[[#This Row],[tamanho]]=$I$3,$L$3,IF(Tabla1[[#This Row],[tamanho]]=$I$4,$L$4,IF(Tabla1[[#This Row],[tamanho]]=$I$5,$L$5,IF(Tabla1[[#This Row],[tamanho]]=$I$6,$L$6,0))))*IF(C1070="8_1",9,25))</f>
        <v>1.0291721196401263E-6</v>
      </c>
    </row>
    <row r="1071" spans="1:6" ht="12.75" x14ac:dyDescent="0.2">
      <c r="A1071" s="1">
        <v>44</v>
      </c>
      <c r="B1071" s="1">
        <v>3</v>
      </c>
      <c r="C1071" s="1" t="s">
        <v>7</v>
      </c>
      <c r="D1071" s="1" t="s">
        <v>6</v>
      </c>
      <c r="E1071" s="1">
        <v>4.3019874095916704</v>
      </c>
      <c r="F1071" s="1">
        <f>Tabla1[[#This Row],[tiempo]]/(IF(Tabla1[[#This Row],[tamanho]]=$I$3,$L$3,IF(Tabla1[[#This Row],[tamanho]]=$I$4,$L$4,IF(Tabla1[[#This Row],[tamanho]]=$I$5,$L$5,IF(Tabla1[[#This Row],[tamanho]]=$I$6,$L$6,0))))*IF(C1071="8_1",9,25))</f>
        <v>4.1640229201885241E-7</v>
      </c>
    </row>
    <row r="1072" spans="1:6" ht="12.75" x14ac:dyDescent="0.2">
      <c r="A1072" s="1">
        <v>44</v>
      </c>
      <c r="B1072" s="1">
        <v>3</v>
      </c>
      <c r="C1072" s="1" t="s">
        <v>8</v>
      </c>
      <c r="D1072" s="1" t="s">
        <v>6</v>
      </c>
      <c r="E1072" s="1">
        <v>4.2774164676666198</v>
      </c>
      <c r="F1072" s="1">
        <f>Tabla1[[#This Row],[tiempo]]/(IF(Tabla1[[#This Row],[tamanho]]=$I$3,$L$3,IF(Tabla1[[#This Row],[tamanho]]=$I$4,$L$4,IF(Tabla1[[#This Row],[tamanho]]=$I$5,$L$5,IF(Tabla1[[#This Row],[tamanho]]=$I$6,$L$6,0))))*IF(C1072="8_1",9,25))</f>
        <v>4.1402399669612756E-7</v>
      </c>
    </row>
    <row r="1073" spans="1:6" ht="12.75" x14ac:dyDescent="0.2">
      <c r="A1073" s="1">
        <v>44</v>
      </c>
      <c r="B1073" s="1">
        <v>3</v>
      </c>
      <c r="C1073" s="1" t="s">
        <v>5</v>
      </c>
      <c r="D1073" s="1" t="s">
        <v>9</v>
      </c>
      <c r="E1073" s="1">
        <v>3.7987284660339302</v>
      </c>
      <c r="F1073" s="1">
        <f>Tabla1[[#This Row],[tiempo]]/(IF(Tabla1[[#This Row],[tamanho]]=$I$3,$L$3,IF(Tabla1[[#This Row],[tamanho]]=$I$4,$L$4,IF(Tabla1[[#This Row],[tamanho]]=$I$5,$L$5,IF(Tabla1[[#This Row],[tamanho]]=$I$6,$L$6,0))))*IF(C1073="8_1",9,25))</f>
        <v>1.0213620727990764E-6</v>
      </c>
    </row>
    <row r="1074" spans="1:6" ht="12.75" x14ac:dyDescent="0.2">
      <c r="A1074" s="1">
        <v>44</v>
      </c>
      <c r="B1074" s="1">
        <v>3</v>
      </c>
      <c r="C1074" s="1" t="s">
        <v>7</v>
      </c>
      <c r="D1074" s="1" t="s">
        <v>9</v>
      </c>
      <c r="E1074" s="1">
        <v>4.2747282981872496</v>
      </c>
      <c r="F1074" s="1">
        <f>Tabla1[[#This Row],[tiempo]]/(IF(Tabla1[[#This Row],[tamanho]]=$I$3,$L$3,IF(Tabla1[[#This Row],[tamanho]]=$I$4,$L$4,IF(Tabla1[[#This Row],[tamanho]]=$I$5,$L$5,IF(Tabla1[[#This Row],[tamanho]]=$I$6,$L$6,0))))*IF(C1074="8_1",9,25))</f>
        <v>4.1376380069228774E-7</v>
      </c>
    </row>
    <row r="1075" spans="1:6" ht="12.75" x14ac:dyDescent="0.2">
      <c r="A1075" s="1">
        <v>44</v>
      </c>
      <c r="B1075" s="1">
        <v>3</v>
      </c>
      <c r="C1075" s="1" t="s">
        <v>8</v>
      </c>
      <c r="D1075" s="1" t="s">
        <v>9</v>
      </c>
      <c r="E1075" s="1">
        <v>4.2844114303588796</v>
      </c>
      <c r="F1075" s="1">
        <f>Tabla1[[#This Row],[tiempo]]/(IF(Tabla1[[#This Row],[tamanho]]=$I$3,$L$3,IF(Tabla1[[#This Row],[tamanho]]=$I$4,$L$4,IF(Tabla1[[#This Row],[tamanho]]=$I$5,$L$5,IF(Tabla1[[#This Row],[tamanho]]=$I$6,$L$6,0))))*IF(C1075="8_1",9,25))</f>
        <v>4.1470106016013238E-7</v>
      </c>
    </row>
    <row r="1076" spans="1:6" ht="12.75" x14ac:dyDescent="0.2">
      <c r="A1076" s="1">
        <v>44</v>
      </c>
      <c r="B1076" s="1">
        <v>4</v>
      </c>
      <c r="C1076" s="1" t="s">
        <v>5</v>
      </c>
      <c r="D1076" s="1" t="s">
        <v>6</v>
      </c>
      <c r="E1076" s="1">
        <v>6.8791427612304599</v>
      </c>
      <c r="F1076" s="1">
        <f>Tabla1[[#This Row],[tiempo]]/(IF(Tabla1[[#This Row],[tamanho]]=$I$3,$L$3,IF(Tabla1[[#This Row],[tamanho]]=$I$4,$L$4,IF(Tabla1[[#This Row],[tamanho]]=$I$5,$L$5,IF(Tabla1[[#This Row],[tamanho]]=$I$6,$L$6,0))))*IF(C1076="8_1",9,25))</f>
        <v>1.0387959762222677E-6</v>
      </c>
    </row>
    <row r="1077" spans="1:6" ht="12.75" x14ac:dyDescent="0.2">
      <c r="A1077" s="1">
        <v>44</v>
      </c>
      <c r="B1077" s="1">
        <v>4</v>
      </c>
      <c r="C1077" s="1" t="s">
        <v>7</v>
      </c>
      <c r="D1077" s="1" t="s">
        <v>6</v>
      </c>
      <c r="E1077" s="1">
        <v>7.6137721538543701</v>
      </c>
      <c r="F1077" s="1">
        <f>Tabla1[[#This Row],[tiempo]]/(IF(Tabla1[[#This Row],[tamanho]]=$I$3,$L$3,IF(Tabla1[[#This Row],[tamanho]]=$I$4,$L$4,IF(Tabla1[[#This Row],[tamanho]]=$I$5,$L$5,IF(Tabla1[[#This Row],[tamanho]]=$I$6,$L$6,0))))*IF(C1077="8_1",9,25))</f>
        <v>4.13902751353521E-7</v>
      </c>
    </row>
    <row r="1078" spans="1:6" ht="12.75" x14ac:dyDescent="0.2">
      <c r="A1078" s="1">
        <v>44</v>
      </c>
      <c r="B1078" s="1">
        <v>4</v>
      </c>
      <c r="C1078" s="1" t="s">
        <v>8</v>
      </c>
      <c r="D1078" s="1" t="s">
        <v>6</v>
      </c>
      <c r="E1078" s="1">
        <v>7.6194338798522896</v>
      </c>
      <c r="F1078" s="1">
        <f>Tabla1[[#This Row],[tiempo]]/(IF(Tabla1[[#This Row],[tamanho]]=$I$3,$L$3,IF(Tabla1[[#This Row],[tamanho]]=$I$4,$L$4,IF(Tabla1[[#This Row],[tamanho]]=$I$5,$L$5,IF(Tabla1[[#This Row],[tamanho]]=$I$6,$L$6,0))))*IF(C1078="8_1",9,25))</f>
        <v>4.1421053623604631E-7</v>
      </c>
    </row>
    <row r="1079" spans="1:6" ht="12.75" x14ac:dyDescent="0.2">
      <c r="A1079" s="1">
        <v>44</v>
      </c>
      <c r="B1079" s="1">
        <v>4</v>
      </c>
      <c r="C1079" s="1" t="s">
        <v>5</v>
      </c>
      <c r="D1079" s="1" t="s">
        <v>9</v>
      </c>
      <c r="E1079" s="1">
        <v>6.8201823234558097</v>
      </c>
      <c r="F1079" s="1">
        <f>Tabla1[[#This Row],[tiempo]]/(IF(Tabla1[[#This Row],[tamanho]]=$I$3,$L$3,IF(Tabla1[[#This Row],[tamanho]]=$I$4,$L$4,IF(Tabla1[[#This Row],[tamanho]]=$I$5,$L$5,IF(Tabla1[[#This Row],[tamanho]]=$I$6,$L$6,0))))*IF(C1079="8_1",9,25))</f>
        <v>1.0298925608342645E-6</v>
      </c>
    </row>
    <row r="1080" spans="1:6" ht="12.75" x14ac:dyDescent="0.2">
      <c r="A1080" s="1">
        <v>44</v>
      </c>
      <c r="B1080" s="1">
        <v>4</v>
      </c>
      <c r="C1080" s="1" t="s">
        <v>7</v>
      </c>
      <c r="D1080" s="1" t="s">
        <v>9</v>
      </c>
      <c r="E1080" s="1">
        <v>7.6141242980956996</v>
      </c>
      <c r="F1080" s="1">
        <f>Tabla1[[#This Row],[tiempo]]/(IF(Tabla1[[#This Row],[tamanho]]=$I$3,$L$3,IF(Tabla1[[#This Row],[tamanho]]=$I$4,$L$4,IF(Tabla1[[#This Row],[tamanho]]=$I$5,$L$5,IF(Tabla1[[#This Row],[tamanho]]=$I$6,$L$6,0))))*IF(C1080="8_1",9,25))</f>
        <v>4.1392189475148644E-7</v>
      </c>
    </row>
    <row r="1081" spans="1:6" ht="12.75" x14ac:dyDescent="0.2">
      <c r="A1081" s="1">
        <v>44</v>
      </c>
      <c r="B1081" s="1">
        <v>4</v>
      </c>
      <c r="C1081" s="1" t="s">
        <v>8</v>
      </c>
      <c r="D1081" s="1" t="s">
        <v>9</v>
      </c>
      <c r="E1081" s="1">
        <v>7.7363770008087096</v>
      </c>
      <c r="F1081" s="1">
        <f>Tabla1[[#This Row],[tiempo]]/(IF(Tabla1[[#This Row],[tamanho]]=$I$3,$L$3,IF(Tabla1[[#This Row],[tamanho]]=$I$4,$L$4,IF(Tabla1[[#This Row],[tamanho]]=$I$5,$L$5,IF(Tabla1[[#This Row],[tamanho]]=$I$6,$L$6,0))))*IF(C1081="8_1",9,25))</f>
        <v>4.2056784225172821E-7</v>
      </c>
    </row>
    <row r="1082" spans="1:6" ht="12.75" x14ac:dyDescent="0.2">
      <c r="A1082" s="1">
        <v>45</v>
      </c>
      <c r="B1082" s="1">
        <v>1</v>
      </c>
      <c r="C1082" s="1" t="s">
        <v>5</v>
      </c>
      <c r="D1082" s="1" t="s">
        <v>6</v>
      </c>
      <c r="E1082" s="1">
        <v>0.42251968383789001</v>
      </c>
      <c r="F1082" s="1">
        <f>Tabla1[[#This Row],[tiempo]]/(IF(Tabla1[[#This Row],[tamanho]]=$I$3,$L$3,IF(Tabla1[[#This Row],[tamanho]]=$I$4,$L$4,IF(Tabla1[[#This Row],[tamanho]]=$I$5,$L$5,IF(Tabla1[[#This Row],[tamanho]]=$I$6,$L$6,0))))*IF(C1082="8_1",9,25))</f>
        <v>1.7412793122489276E-6</v>
      </c>
    </row>
    <row r="1083" spans="1:6" ht="12.75" x14ac:dyDescent="0.2">
      <c r="A1083" s="1">
        <v>45</v>
      </c>
      <c r="B1083" s="1">
        <v>1</v>
      </c>
      <c r="C1083" s="1" t="s">
        <v>7</v>
      </c>
      <c r="D1083" s="1" t="s">
        <v>6</v>
      </c>
      <c r="E1083" s="1">
        <v>0.46420645713806102</v>
      </c>
      <c r="F1083" s="1">
        <f>Tabla1[[#This Row],[tiempo]]/(IF(Tabla1[[#This Row],[tamanho]]=$I$3,$L$3,IF(Tabla1[[#This Row],[tamanho]]=$I$4,$L$4,IF(Tabla1[[#This Row],[tamanho]]=$I$5,$L$5,IF(Tabla1[[#This Row],[tamanho]]=$I$6,$L$6,0))))*IF(C1083="8_1",9,25))</f>
        <v>6.8870807038026932E-7</v>
      </c>
    </row>
    <row r="1084" spans="1:6" ht="12.75" x14ac:dyDescent="0.2">
      <c r="A1084" s="1">
        <v>45</v>
      </c>
      <c r="B1084" s="1">
        <v>1</v>
      </c>
      <c r="C1084" s="1" t="s">
        <v>8</v>
      </c>
      <c r="D1084" s="1" t="s">
        <v>6</v>
      </c>
      <c r="E1084" s="1">
        <v>0.458152055740356</v>
      </c>
      <c r="F1084" s="1">
        <f>Tabla1[[#This Row],[tiempo]]/(IF(Tabla1[[#This Row],[tamanho]]=$I$3,$L$3,IF(Tabla1[[#This Row],[tamanho]]=$I$4,$L$4,IF(Tabla1[[#This Row],[tamanho]]=$I$5,$L$5,IF(Tabla1[[#This Row],[tamanho]]=$I$6,$L$6,0))))*IF(C1084="8_1",9,25))</f>
        <v>6.7972561216624904E-7</v>
      </c>
    </row>
    <row r="1085" spans="1:6" ht="12.75" x14ac:dyDescent="0.2">
      <c r="A1085" s="1">
        <v>45</v>
      </c>
      <c r="B1085" s="1">
        <v>1</v>
      </c>
      <c r="C1085" s="1" t="s">
        <v>5</v>
      </c>
      <c r="D1085" s="1" t="s">
        <v>9</v>
      </c>
      <c r="E1085" s="1">
        <v>0.40933346748352001</v>
      </c>
      <c r="F1085" s="1">
        <f>Tabla1[[#This Row],[tiempo]]/(IF(Tabla1[[#This Row],[tamanho]]=$I$3,$L$3,IF(Tabla1[[#This Row],[tamanho]]=$I$4,$L$4,IF(Tabla1[[#This Row],[tamanho]]=$I$5,$L$5,IF(Tabla1[[#This Row],[tamanho]]=$I$6,$L$6,0))))*IF(C1085="8_1",9,25))</f>
        <v>1.6869365523184517E-6</v>
      </c>
    </row>
    <row r="1086" spans="1:6" ht="12.75" x14ac:dyDescent="0.2">
      <c r="A1086" s="1">
        <v>45</v>
      </c>
      <c r="B1086" s="1">
        <v>1</v>
      </c>
      <c r="C1086" s="1" t="s">
        <v>7</v>
      </c>
      <c r="D1086" s="1" t="s">
        <v>9</v>
      </c>
      <c r="E1086" s="1">
        <v>0.45552802085876398</v>
      </c>
      <c r="F1086" s="1">
        <f>Tabla1[[#This Row],[tiempo]]/(IF(Tabla1[[#This Row],[tamanho]]=$I$3,$L$3,IF(Tabla1[[#This Row],[tamanho]]=$I$4,$L$4,IF(Tabla1[[#This Row],[tamanho]]=$I$5,$L$5,IF(Tabla1[[#This Row],[tamanho]]=$I$6,$L$6,0))))*IF(C1086="8_1",9,25))</f>
        <v>6.7583252974112831E-7</v>
      </c>
    </row>
    <row r="1087" spans="1:6" ht="12.75" x14ac:dyDescent="0.2">
      <c r="A1087" s="1">
        <v>45</v>
      </c>
      <c r="B1087" s="1">
        <v>1</v>
      </c>
      <c r="C1087" s="1" t="s">
        <v>8</v>
      </c>
      <c r="D1087" s="1" t="s">
        <v>9</v>
      </c>
      <c r="E1087" s="1">
        <v>0.47128486633300698</v>
      </c>
      <c r="F1087" s="1">
        <f>Tabla1[[#This Row],[tiempo]]/(IF(Tabla1[[#This Row],[tamanho]]=$I$3,$L$3,IF(Tabla1[[#This Row],[tamanho]]=$I$4,$L$4,IF(Tabla1[[#This Row],[tamanho]]=$I$5,$L$5,IF(Tabla1[[#This Row],[tamanho]]=$I$6,$L$6,0))))*IF(C1087="8_1",9,25))</f>
        <v>6.9920977164497905E-7</v>
      </c>
    </row>
    <row r="1088" spans="1:6" ht="12.75" x14ac:dyDescent="0.2">
      <c r="A1088" s="1">
        <v>45</v>
      </c>
      <c r="B1088" s="1">
        <v>2</v>
      </c>
      <c r="C1088" s="1" t="s">
        <v>5</v>
      </c>
      <c r="D1088" s="1" t="s">
        <v>6</v>
      </c>
      <c r="E1088" s="1">
        <v>1.66833591461181</v>
      </c>
      <c r="F1088" s="1">
        <f>Tabla1[[#This Row],[tiempo]]/(IF(Tabla1[[#This Row],[tamanho]]=$I$3,$L$3,IF(Tabla1[[#This Row],[tamanho]]=$I$4,$L$4,IF(Tabla1[[#This Row],[tamanho]]=$I$5,$L$5,IF(Tabla1[[#This Row],[tamanho]]=$I$6,$L$6,0))))*IF(C1088="8_1",9,25))</f>
        <v>1.010073218355783E-6</v>
      </c>
    </row>
    <row r="1089" spans="1:6" ht="12.75" x14ac:dyDescent="0.2">
      <c r="A1089" s="1">
        <v>45</v>
      </c>
      <c r="B1089" s="1">
        <v>2</v>
      </c>
      <c r="C1089" s="1" t="s">
        <v>7</v>
      </c>
      <c r="D1089" s="1" t="s">
        <v>6</v>
      </c>
      <c r="E1089" s="1">
        <v>1.87809705734252</v>
      </c>
      <c r="F1089" s="1">
        <f>Tabla1[[#This Row],[tiempo]]/(IF(Tabla1[[#This Row],[tamanho]]=$I$3,$L$3,IF(Tabla1[[#This Row],[tamanho]]=$I$4,$L$4,IF(Tabla1[[#This Row],[tamanho]]=$I$5,$L$5,IF(Tabla1[[#This Row],[tamanho]]=$I$6,$L$6,0))))*IF(C1089="8_1",9,25))</f>
        <v>4.0934537708667514E-7</v>
      </c>
    </row>
    <row r="1090" spans="1:6" ht="12.75" x14ac:dyDescent="0.2">
      <c r="A1090" s="1">
        <v>45</v>
      </c>
      <c r="B1090" s="1">
        <v>2</v>
      </c>
      <c r="C1090" s="1" t="s">
        <v>8</v>
      </c>
      <c r="D1090" s="1" t="s">
        <v>6</v>
      </c>
      <c r="E1090" s="1">
        <v>1.8807244300842201</v>
      </c>
      <c r="F1090" s="1">
        <f>Tabla1[[#This Row],[tiempo]]/(IF(Tabla1[[#This Row],[tamanho]]=$I$3,$L$3,IF(Tabla1[[#This Row],[tamanho]]=$I$4,$L$4,IF(Tabla1[[#This Row],[tamanho]]=$I$5,$L$5,IF(Tabla1[[#This Row],[tamanho]]=$I$6,$L$6,0))))*IF(C1090="8_1",9,25))</f>
        <v>4.0991803273378016E-7</v>
      </c>
    </row>
    <row r="1091" spans="1:6" ht="12.75" x14ac:dyDescent="0.2">
      <c r="A1091" s="1">
        <v>45</v>
      </c>
      <c r="B1091" s="1">
        <v>2</v>
      </c>
      <c r="C1091" s="1" t="s">
        <v>5</v>
      </c>
      <c r="D1091" s="1" t="s">
        <v>9</v>
      </c>
      <c r="E1091" s="1">
        <v>1.6759495735168399</v>
      </c>
      <c r="F1091" s="1">
        <f>Tabla1[[#This Row],[tiempo]]/(IF(Tabla1[[#This Row],[tamanho]]=$I$3,$L$3,IF(Tabla1[[#This Row],[tamanho]]=$I$4,$L$4,IF(Tabla1[[#This Row],[tamanho]]=$I$5,$L$5,IF(Tabla1[[#This Row],[tamanho]]=$I$6,$L$6,0))))*IF(C1091="8_1",9,25))</f>
        <v>1.014682813393756E-6</v>
      </c>
    </row>
    <row r="1092" spans="1:6" ht="12.75" x14ac:dyDescent="0.2">
      <c r="A1092" s="1">
        <v>45</v>
      </c>
      <c r="B1092" s="1">
        <v>2</v>
      </c>
      <c r="C1092" s="1" t="s">
        <v>7</v>
      </c>
      <c r="D1092" s="1" t="s">
        <v>9</v>
      </c>
      <c r="E1092" s="1">
        <v>1.8760797977447501</v>
      </c>
      <c r="F1092" s="1">
        <f>Tabla1[[#This Row],[tiempo]]/(IF(Tabla1[[#This Row],[tamanho]]=$I$3,$L$3,IF(Tabla1[[#This Row],[tamanho]]=$I$4,$L$4,IF(Tabla1[[#This Row],[tamanho]]=$I$5,$L$5,IF(Tabla1[[#This Row],[tamanho]]=$I$6,$L$6,0))))*IF(C1092="8_1",9,25))</f>
        <v>4.0890570018738899E-7</v>
      </c>
    </row>
    <row r="1093" spans="1:6" ht="12.75" x14ac:dyDescent="0.2">
      <c r="A1093" s="1">
        <v>45</v>
      </c>
      <c r="B1093" s="1">
        <v>2</v>
      </c>
      <c r="C1093" s="1" t="s">
        <v>8</v>
      </c>
      <c r="D1093" s="1" t="s">
        <v>9</v>
      </c>
      <c r="E1093" s="1">
        <v>1.9057965278625399</v>
      </c>
      <c r="F1093" s="1">
        <f>Tabla1[[#This Row],[tiempo]]/(IF(Tabla1[[#This Row],[tamanho]]=$I$3,$L$3,IF(Tabla1[[#This Row],[tamanho]]=$I$4,$L$4,IF(Tabla1[[#This Row],[tamanho]]=$I$5,$L$5,IF(Tabla1[[#This Row],[tamanho]]=$I$6,$L$6,0))))*IF(C1093="8_1",9,25))</f>
        <v>4.1538268498872938E-7</v>
      </c>
    </row>
    <row r="1094" spans="1:6" ht="12.75" x14ac:dyDescent="0.2">
      <c r="A1094" s="1">
        <v>45</v>
      </c>
      <c r="B1094" s="1">
        <v>3</v>
      </c>
      <c r="C1094" s="1" t="s">
        <v>5</v>
      </c>
      <c r="D1094" s="1" t="s">
        <v>6</v>
      </c>
      <c r="E1094" s="1">
        <v>3.7863810062408398</v>
      </c>
      <c r="F1094" s="1">
        <f>Tabla1[[#This Row],[tiempo]]/(IF(Tabla1[[#This Row],[tamanho]]=$I$3,$L$3,IF(Tabla1[[#This Row],[tamanho]]=$I$4,$L$4,IF(Tabla1[[#This Row],[tamanho]]=$I$5,$L$5,IF(Tabla1[[#This Row],[tamanho]]=$I$6,$L$6,0))))*IF(C1094="8_1",9,25))</f>
        <v>1.0180422179474237E-6</v>
      </c>
    </row>
    <row r="1095" spans="1:6" ht="12.75" x14ac:dyDescent="0.2">
      <c r="A1095" s="1">
        <v>45</v>
      </c>
      <c r="B1095" s="1">
        <v>3</v>
      </c>
      <c r="C1095" s="1" t="s">
        <v>7</v>
      </c>
      <c r="D1095" s="1" t="s">
        <v>6</v>
      </c>
      <c r="E1095" s="1">
        <v>4.2616045475006104</v>
      </c>
      <c r="F1095" s="1">
        <f>Tabla1[[#This Row],[tiempo]]/(IF(Tabla1[[#This Row],[tamanho]]=$I$3,$L$3,IF(Tabla1[[#This Row],[tamanho]]=$I$4,$L$4,IF(Tabla1[[#This Row],[tamanho]]=$I$5,$L$5,IF(Tabla1[[#This Row],[tamanho]]=$I$6,$L$6,0))))*IF(C1095="8_1",9,25))</f>
        <v>4.1249351341677959E-7</v>
      </c>
    </row>
    <row r="1096" spans="1:6" ht="12.75" x14ac:dyDescent="0.2">
      <c r="A1096" s="1">
        <v>45</v>
      </c>
      <c r="B1096" s="1">
        <v>3</v>
      </c>
      <c r="C1096" s="1" t="s">
        <v>8</v>
      </c>
      <c r="D1096" s="1" t="s">
        <v>6</v>
      </c>
      <c r="E1096" s="1">
        <v>4.3834443092346103</v>
      </c>
      <c r="F1096" s="1">
        <f>Tabla1[[#This Row],[tiempo]]/(IF(Tabla1[[#This Row],[tamanho]]=$I$3,$L$3,IF(Tabla1[[#This Row],[tamanho]]=$I$4,$L$4,IF(Tabla1[[#This Row],[tamanho]]=$I$5,$L$5,IF(Tabla1[[#This Row],[tamanho]]=$I$6,$L$6,0))))*IF(C1096="8_1",9,25))</f>
        <v>4.2428675017334276E-7</v>
      </c>
    </row>
    <row r="1097" spans="1:6" ht="12.75" x14ac:dyDescent="0.2">
      <c r="A1097" s="1">
        <v>45</v>
      </c>
      <c r="B1097" s="1">
        <v>3</v>
      </c>
      <c r="C1097" s="1" t="s">
        <v>5</v>
      </c>
      <c r="D1097" s="1" t="s">
        <v>9</v>
      </c>
      <c r="E1097" s="1">
        <v>3.8727130889892498</v>
      </c>
      <c r="F1097" s="1">
        <f>Tabla1[[#This Row],[tiempo]]/(IF(Tabla1[[#This Row],[tamanho]]=$I$3,$L$3,IF(Tabla1[[#This Row],[tamanho]]=$I$4,$L$4,IF(Tabla1[[#This Row],[tamanho]]=$I$5,$L$5,IF(Tabla1[[#This Row],[tamanho]]=$I$6,$L$6,0))))*IF(C1097="8_1",9,25))</f>
        <v>1.0412542784496153E-6</v>
      </c>
    </row>
    <row r="1098" spans="1:6" ht="12.75" x14ac:dyDescent="0.2">
      <c r="A1098" s="1">
        <v>45</v>
      </c>
      <c r="B1098" s="1">
        <v>3</v>
      </c>
      <c r="C1098" s="1" t="s">
        <v>7</v>
      </c>
      <c r="D1098" s="1" t="s">
        <v>9</v>
      </c>
      <c r="E1098" s="1">
        <v>4.2800803184509197</v>
      </c>
      <c r="F1098" s="1">
        <f>Tabla1[[#This Row],[tiempo]]/(IF(Tabla1[[#This Row],[tamanho]]=$I$3,$L$3,IF(Tabla1[[#This Row],[tamanho]]=$I$4,$L$4,IF(Tabla1[[#This Row],[tamanho]]=$I$5,$L$5,IF(Tabla1[[#This Row],[tamanho]]=$I$6,$L$6,0))))*IF(C1098="8_1",9,25))</f>
        <v>4.1428183882037589E-7</v>
      </c>
    </row>
    <row r="1099" spans="1:6" ht="12.75" x14ac:dyDescent="0.2">
      <c r="A1099" s="1">
        <v>45</v>
      </c>
      <c r="B1099" s="1">
        <v>3</v>
      </c>
      <c r="C1099" s="1" t="s">
        <v>8</v>
      </c>
      <c r="D1099" s="1" t="s">
        <v>9</v>
      </c>
      <c r="E1099" s="1">
        <v>4.3921260833740199</v>
      </c>
      <c r="F1099" s="1">
        <f>Tabla1[[#This Row],[tiempo]]/(IF(Tabla1[[#This Row],[tamanho]]=$I$3,$L$3,IF(Tabla1[[#This Row],[tamanho]]=$I$4,$L$4,IF(Tabla1[[#This Row],[tamanho]]=$I$5,$L$5,IF(Tabla1[[#This Row],[tamanho]]=$I$6,$L$6,0))))*IF(C1099="8_1",9,25))</f>
        <v>4.251270851874295E-7</v>
      </c>
    </row>
    <row r="1100" spans="1:6" ht="12.75" x14ac:dyDescent="0.2">
      <c r="A1100" s="1">
        <v>45</v>
      </c>
      <c r="B1100" s="1">
        <v>4</v>
      </c>
      <c r="C1100" s="1" t="s">
        <v>5</v>
      </c>
      <c r="D1100" s="1" t="s">
        <v>6</v>
      </c>
      <c r="E1100" s="1">
        <v>6.8771014213562003</v>
      </c>
      <c r="F1100" s="1">
        <f>Tabla1[[#This Row],[tiempo]]/(IF(Tabla1[[#This Row],[tamanho]]=$I$3,$L$3,IF(Tabla1[[#This Row],[tamanho]]=$I$4,$L$4,IF(Tabla1[[#This Row],[tamanho]]=$I$5,$L$5,IF(Tabla1[[#This Row],[tamanho]]=$I$6,$L$6,0))))*IF(C1100="8_1",9,25))</f>
        <v>1.0384877204233863E-6</v>
      </c>
    </row>
    <row r="1101" spans="1:6" ht="12.75" x14ac:dyDescent="0.2">
      <c r="A1101" s="1">
        <v>45</v>
      </c>
      <c r="B1101" s="1">
        <v>4</v>
      </c>
      <c r="C1101" s="1" t="s">
        <v>7</v>
      </c>
      <c r="D1101" s="1" t="s">
        <v>6</v>
      </c>
      <c r="E1101" s="1">
        <v>7.7320492267608598</v>
      </c>
      <c r="F1101" s="1">
        <f>Tabla1[[#This Row],[tiempo]]/(IF(Tabla1[[#This Row],[tamanho]]=$I$3,$L$3,IF(Tabla1[[#This Row],[tamanho]]=$I$4,$L$4,IF(Tabla1[[#This Row],[tamanho]]=$I$5,$L$5,IF(Tabla1[[#This Row],[tamanho]]=$I$6,$L$6,0))))*IF(C1101="8_1",9,25))</f>
        <v>4.2033257416786067E-7</v>
      </c>
    </row>
    <row r="1102" spans="1:6" ht="12.75" x14ac:dyDescent="0.2">
      <c r="A1102" s="1">
        <v>45</v>
      </c>
      <c r="B1102" s="1">
        <v>4</v>
      </c>
      <c r="C1102" s="1" t="s">
        <v>8</v>
      </c>
      <c r="D1102" s="1" t="s">
        <v>6</v>
      </c>
      <c r="E1102" s="1">
        <v>7.7586863040924001</v>
      </c>
      <c r="F1102" s="1">
        <f>Tabla1[[#This Row],[tiempo]]/(IF(Tabla1[[#This Row],[tamanho]]=$I$3,$L$3,IF(Tabla1[[#This Row],[tamanho]]=$I$4,$L$4,IF(Tabla1[[#This Row],[tamanho]]=$I$5,$L$5,IF(Tabla1[[#This Row],[tamanho]]=$I$6,$L$6,0))))*IF(C1102="8_1",9,25))</f>
        <v>4.2178062900490486E-7</v>
      </c>
    </row>
    <row r="1103" spans="1:6" ht="12.75" x14ac:dyDescent="0.2">
      <c r="A1103" s="1">
        <v>45</v>
      </c>
      <c r="B1103" s="1">
        <v>4</v>
      </c>
      <c r="C1103" s="1" t="s">
        <v>5</v>
      </c>
      <c r="D1103" s="1" t="s">
        <v>9</v>
      </c>
      <c r="E1103" s="1">
        <v>6.9548888206481898</v>
      </c>
      <c r="F1103" s="1">
        <f>Tabla1[[#This Row],[tiempo]]/(IF(Tabla1[[#This Row],[tamanho]]=$I$3,$L$3,IF(Tabla1[[#This Row],[tamanho]]=$I$4,$L$4,IF(Tabla1[[#This Row],[tamanho]]=$I$5,$L$5,IF(Tabla1[[#This Row],[tamanho]]=$I$6,$L$6,0))))*IF(C1103="8_1",9,25))</f>
        <v>1.0502341313047997E-6</v>
      </c>
    </row>
    <row r="1104" spans="1:6" ht="12.75" x14ac:dyDescent="0.2">
      <c r="A1104" s="1">
        <v>45</v>
      </c>
      <c r="B1104" s="1">
        <v>4</v>
      </c>
      <c r="C1104" s="1" t="s">
        <v>7</v>
      </c>
      <c r="D1104" s="1" t="s">
        <v>9</v>
      </c>
      <c r="E1104" s="1">
        <v>7.6789915561675999</v>
      </c>
      <c r="F1104" s="1">
        <f>Tabla1[[#This Row],[tiempo]]/(IF(Tabla1[[#This Row],[tamanho]]=$I$3,$L$3,IF(Tabla1[[#This Row],[tamanho]]=$I$4,$L$4,IF(Tabla1[[#This Row],[tamanho]]=$I$5,$L$5,IF(Tabla1[[#This Row],[tamanho]]=$I$6,$L$6,0))))*IF(C1104="8_1",9,25))</f>
        <v>4.1744823308236577E-7</v>
      </c>
    </row>
    <row r="1105" spans="1:6" ht="12.75" x14ac:dyDescent="0.2">
      <c r="A1105" s="1">
        <v>45</v>
      </c>
      <c r="B1105" s="1">
        <v>4</v>
      </c>
      <c r="C1105" s="1" t="s">
        <v>8</v>
      </c>
      <c r="D1105" s="1" t="s">
        <v>9</v>
      </c>
      <c r="E1105" s="1">
        <v>7.7771284580230704</v>
      </c>
      <c r="F1105" s="1">
        <f>Tabla1[[#This Row],[tiempo]]/(IF(Tabla1[[#This Row],[tamanho]]=$I$3,$L$3,IF(Tabla1[[#This Row],[tamanho]]=$I$4,$L$4,IF(Tabla1[[#This Row],[tamanho]]=$I$5,$L$5,IF(Tabla1[[#This Row],[tamanho]]=$I$6,$L$6,0))))*IF(C1105="8_1",9,25))</f>
        <v>4.2278318832747734E-7</v>
      </c>
    </row>
    <row r="1106" spans="1:6" ht="12.75" x14ac:dyDescent="0.2">
      <c r="A1106" s="1">
        <v>46</v>
      </c>
      <c r="B1106" s="1">
        <v>1</v>
      </c>
      <c r="C1106" s="1" t="s">
        <v>5</v>
      </c>
      <c r="D1106" s="1" t="s">
        <v>6</v>
      </c>
      <c r="E1106" s="1">
        <v>0.40988802909851002</v>
      </c>
      <c r="F1106" s="1">
        <f>Tabla1[[#This Row],[tiempo]]/(IF(Tabla1[[#This Row],[tamanho]]=$I$3,$L$3,IF(Tabla1[[#This Row],[tamanho]]=$I$4,$L$4,IF(Tabla1[[#This Row],[tamanho]]=$I$5,$L$5,IF(Tabla1[[#This Row],[tamanho]]=$I$6,$L$6,0))))*IF(C1106="8_1",9,25))</f>
        <v>1.6892220000845255E-6</v>
      </c>
    </row>
    <row r="1107" spans="1:6" ht="12.75" x14ac:dyDescent="0.2">
      <c r="A1107" s="1">
        <v>46</v>
      </c>
      <c r="B1107" s="1">
        <v>1</v>
      </c>
      <c r="C1107" s="1" t="s">
        <v>7</v>
      </c>
      <c r="D1107" s="1" t="s">
        <v>6</v>
      </c>
      <c r="E1107" s="1">
        <v>0.45329618453979398</v>
      </c>
      <c r="F1107" s="1">
        <f>Tabla1[[#This Row],[tiempo]]/(IF(Tabla1[[#This Row],[tamanho]]=$I$3,$L$3,IF(Tabla1[[#This Row],[tamanho]]=$I$4,$L$4,IF(Tabla1[[#This Row],[tamanho]]=$I$5,$L$5,IF(Tabla1[[#This Row],[tamanho]]=$I$6,$L$6,0))))*IF(C1107="8_1",9,25))</f>
        <v>6.7252132271027627E-7</v>
      </c>
    </row>
    <row r="1108" spans="1:6" ht="12.75" x14ac:dyDescent="0.2">
      <c r="A1108" s="1">
        <v>46</v>
      </c>
      <c r="B1108" s="1">
        <v>1</v>
      </c>
      <c r="C1108" s="1" t="s">
        <v>8</v>
      </c>
      <c r="D1108" s="1" t="s">
        <v>6</v>
      </c>
      <c r="E1108" s="1">
        <v>0.45533657073974598</v>
      </c>
      <c r="F1108" s="1">
        <f>Tabla1[[#This Row],[tiempo]]/(IF(Tabla1[[#This Row],[tamanho]]=$I$3,$L$3,IF(Tabla1[[#This Row],[tamanho]]=$I$4,$L$4,IF(Tabla1[[#This Row],[tamanho]]=$I$5,$L$5,IF(Tabla1[[#This Row],[tamanho]]=$I$6,$L$6,0))))*IF(C1108="8_1",9,25))</f>
        <v>6.755484896550513E-7</v>
      </c>
    </row>
    <row r="1109" spans="1:6" ht="12.75" x14ac:dyDescent="0.2">
      <c r="A1109" s="1">
        <v>46</v>
      </c>
      <c r="B1109" s="1">
        <v>1</v>
      </c>
      <c r="C1109" s="1" t="s">
        <v>5</v>
      </c>
      <c r="D1109" s="1" t="s">
        <v>9</v>
      </c>
      <c r="E1109" s="1">
        <v>0.40650177001953097</v>
      </c>
      <c r="F1109" s="1">
        <f>Tabla1[[#This Row],[tiempo]]/(IF(Tabla1[[#This Row],[tamanho]]=$I$3,$L$3,IF(Tabla1[[#This Row],[tamanho]]=$I$4,$L$4,IF(Tabla1[[#This Row],[tamanho]]=$I$5,$L$5,IF(Tabla1[[#This Row],[tamanho]]=$I$6,$L$6,0))))*IF(C1109="8_1",9,25))</f>
        <v>1.675266619765715E-6</v>
      </c>
    </row>
    <row r="1110" spans="1:6" ht="12.75" x14ac:dyDescent="0.2">
      <c r="A1110" s="1">
        <v>46</v>
      </c>
      <c r="B1110" s="1">
        <v>1</v>
      </c>
      <c r="C1110" s="1" t="s">
        <v>7</v>
      </c>
      <c r="D1110" s="1" t="s">
        <v>9</v>
      </c>
      <c r="E1110" s="1">
        <v>0.45552015304565402</v>
      </c>
      <c r="F1110" s="1">
        <f>Tabla1[[#This Row],[tiempo]]/(IF(Tabla1[[#This Row],[tamanho]]=$I$3,$L$3,IF(Tabla1[[#This Row],[tamanho]]=$I$4,$L$4,IF(Tabla1[[#This Row],[tamanho]]=$I$5,$L$5,IF(Tabla1[[#This Row],[tamanho]]=$I$6,$L$6,0))))*IF(C1110="8_1",9,25))</f>
        <v>6.7582085686087908E-7</v>
      </c>
    </row>
    <row r="1111" spans="1:6" ht="12.75" x14ac:dyDescent="0.2">
      <c r="A1111" s="1">
        <v>46</v>
      </c>
      <c r="B1111" s="1">
        <v>1</v>
      </c>
      <c r="C1111" s="1" t="s">
        <v>8</v>
      </c>
      <c r="D1111" s="1" t="s">
        <v>9</v>
      </c>
      <c r="E1111" s="1">
        <v>0.45652985572814903</v>
      </c>
      <c r="F1111" s="1">
        <f>Tabla1[[#This Row],[tiempo]]/(IF(Tabla1[[#This Row],[tamanho]]=$I$3,$L$3,IF(Tabla1[[#This Row],[tamanho]]=$I$4,$L$4,IF(Tabla1[[#This Row],[tamanho]]=$I$5,$L$5,IF(Tabla1[[#This Row],[tamanho]]=$I$6,$L$6,0))))*IF(C1111="8_1",9,25))</f>
        <v>6.7731887649293276E-7</v>
      </c>
    </row>
    <row r="1112" spans="1:6" ht="12.75" x14ac:dyDescent="0.2">
      <c r="A1112" s="1">
        <v>46</v>
      </c>
      <c r="B1112" s="1">
        <v>2</v>
      </c>
      <c r="C1112" s="1" t="s">
        <v>5</v>
      </c>
      <c r="D1112" s="1" t="s">
        <v>6</v>
      </c>
      <c r="E1112" s="1">
        <v>1.6720714569091699</v>
      </c>
      <c r="F1112" s="1">
        <f>Tabla1[[#This Row],[tiempo]]/(IF(Tabla1[[#This Row],[tamanho]]=$I$3,$L$3,IF(Tabla1[[#This Row],[tamanho]]=$I$4,$L$4,IF(Tabla1[[#This Row],[tamanho]]=$I$5,$L$5,IF(Tabla1[[#This Row],[tamanho]]=$I$6,$L$6,0))))*IF(C1112="8_1",9,25))</f>
        <v>1.0123348559537942E-6</v>
      </c>
    </row>
    <row r="1113" spans="1:6" ht="12.75" x14ac:dyDescent="0.2">
      <c r="A1113" s="1">
        <v>46</v>
      </c>
      <c r="B1113" s="1">
        <v>2</v>
      </c>
      <c r="C1113" s="1" t="s">
        <v>7</v>
      </c>
      <c r="D1113" s="1" t="s">
        <v>6</v>
      </c>
      <c r="E1113" s="1">
        <v>1.8696815967559799</v>
      </c>
      <c r="F1113" s="1">
        <f>Tabla1[[#This Row],[tiempo]]/(IF(Tabla1[[#This Row],[tamanho]]=$I$3,$L$3,IF(Tabla1[[#This Row],[tamanho]]=$I$4,$L$4,IF(Tabla1[[#This Row],[tamanho]]=$I$5,$L$5,IF(Tabla1[[#This Row],[tamanho]]=$I$6,$L$6,0))))*IF(C1113="8_1",9,25))</f>
        <v>4.0751116416690749E-7</v>
      </c>
    </row>
    <row r="1114" spans="1:6" ht="12.75" x14ac:dyDescent="0.2">
      <c r="A1114" s="1">
        <v>46</v>
      </c>
      <c r="B1114" s="1">
        <v>2</v>
      </c>
      <c r="C1114" s="1" t="s">
        <v>8</v>
      </c>
      <c r="D1114" s="1" t="s">
        <v>6</v>
      </c>
      <c r="E1114" s="1">
        <v>1.8802525997161801</v>
      </c>
      <c r="F1114" s="1">
        <f>Tabla1[[#This Row],[tiempo]]/(IF(Tabla1[[#This Row],[tamanho]]=$I$3,$L$3,IF(Tabla1[[#This Row],[tamanho]]=$I$4,$L$4,IF(Tabla1[[#This Row],[tamanho]]=$I$5,$L$5,IF(Tabla1[[#This Row],[tamanho]]=$I$6,$L$6,0))))*IF(C1114="8_1",9,25))</f>
        <v>4.0981519375686405E-7</v>
      </c>
    </row>
    <row r="1115" spans="1:6" ht="12.75" x14ac:dyDescent="0.2">
      <c r="A1115" s="1">
        <v>46</v>
      </c>
      <c r="B1115" s="1">
        <v>2</v>
      </c>
      <c r="C1115" s="1" t="s">
        <v>5</v>
      </c>
      <c r="D1115" s="1" t="s">
        <v>9</v>
      </c>
      <c r="E1115" s="1">
        <v>1.68008637428283</v>
      </c>
      <c r="F1115" s="1">
        <f>Tabla1[[#This Row],[tiempo]]/(IF(Tabla1[[#This Row],[tamanho]]=$I$3,$L$3,IF(Tabla1[[#This Row],[tamanho]]=$I$4,$L$4,IF(Tabla1[[#This Row],[tamanho]]=$I$5,$L$5,IF(Tabla1[[#This Row],[tamanho]]=$I$6,$L$6,0))))*IF(C1115="8_1",9,25))</f>
        <v>1.0171873879382489E-6</v>
      </c>
    </row>
    <row r="1116" spans="1:6" ht="12.75" x14ac:dyDescent="0.2">
      <c r="A1116" s="1">
        <v>46</v>
      </c>
      <c r="B1116" s="1">
        <v>2</v>
      </c>
      <c r="C1116" s="1" t="s">
        <v>7</v>
      </c>
      <c r="D1116" s="1" t="s">
        <v>9</v>
      </c>
      <c r="E1116" s="1">
        <v>1.9054086208343499</v>
      </c>
      <c r="F1116" s="1">
        <f>Tabla1[[#This Row],[tiempo]]/(IF(Tabla1[[#This Row],[tamanho]]=$I$3,$L$3,IF(Tabla1[[#This Row],[tamanho]]=$I$4,$L$4,IF(Tabla1[[#This Row],[tamanho]]=$I$5,$L$5,IF(Tabla1[[#This Row],[tamanho]]=$I$6,$L$6,0))))*IF(C1116="8_1",9,25))</f>
        <v>4.1529813773484374E-7</v>
      </c>
    </row>
    <row r="1117" spans="1:6" ht="12.75" x14ac:dyDescent="0.2">
      <c r="A1117" s="1">
        <v>46</v>
      </c>
      <c r="B1117" s="1">
        <v>2</v>
      </c>
      <c r="C1117" s="1" t="s">
        <v>8</v>
      </c>
      <c r="D1117" s="1" t="s">
        <v>9</v>
      </c>
      <c r="E1117" s="1">
        <v>1.9281866550445499</v>
      </c>
      <c r="F1117" s="1">
        <f>Tabla1[[#This Row],[tiempo]]/(IF(Tabla1[[#This Row],[tamanho]]=$I$3,$L$3,IF(Tabla1[[#This Row],[tamanho]]=$I$4,$L$4,IF(Tabla1[[#This Row],[tamanho]]=$I$5,$L$5,IF(Tabla1[[#This Row],[tamanho]]=$I$6,$L$6,0))))*IF(C1117="8_1",9,25))</f>
        <v>4.2026278158358125E-7</v>
      </c>
    </row>
    <row r="1118" spans="1:6" ht="12.75" x14ac:dyDescent="0.2">
      <c r="A1118" s="1">
        <v>46</v>
      </c>
      <c r="B1118" s="1">
        <v>3</v>
      </c>
      <c r="C1118" s="1" t="s">
        <v>5</v>
      </c>
      <c r="D1118" s="1" t="s">
        <v>6</v>
      </c>
      <c r="E1118" s="1">
        <v>3.8402826786041202</v>
      </c>
      <c r="F1118" s="1">
        <f>Tabla1[[#This Row],[tiempo]]/(IF(Tabla1[[#This Row],[tamanho]]=$I$3,$L$3,IF(Tabla1[[#This Row],[tamanho]]=$I$4,$L$4,IF(Tabla1[[#This Row],[tamanho]]=$I$5,$L$5,IF(Tabla1[[#This Row],[tamanho]]=$I$6,$L$6,0))))*IF(C1118="8_1",9,25))</f>
        <v>1.032534731509409E-6</v>
      </c>
    </row>
    <row r="1119" spans="1:6" ht="12.75" x14ac:dyDescent="0.2">
      <c r="A1119" s="1">
        <v>46</v>
      </c>
      <c r="B1119" s="1">
        <v>3</v>
      </c>
      <c r="C1119" s="1" t="s">
        <v>7</v>
      </c>
      <c r="D1119" s="1" t="s">
        <v>6</v>
      </c>
      <c r="E1119" s="1">
        <v>4.2524356842040998</v>
      </c>
      <c r="F1119" s="1">
        <f>Tabla1[[#This Row],[tiempo]]/(IF(Tabla1[[#This Row],[tamanho]]=$I$3,$L$3,IF(Tabla1[[#This Row],[tamanho]]=$I$4,$L$4,IF(Tabla1[[#This Row],[tamanho]]=$I$5,$L$5,IF(Tabla1[[#This Row],[tamanho]]=$I$6,$L$6,0))))*IF(C1119="8_1",9,25))</f>
        <v>4.1160603157911496E-7</v>
      </c>
    </row>
    <row r="1120" spans="1:6" ht="12.75" x14ac:dyDescent="0.2">
      <c r="A1120" s="1">
        <v>46</v>
      </c>
      <c r="B1120" s="1">
        <v>3</v>
      </c>
      <c r="C1120" s="1" t="s">
        <v>8</v>
      </c>
      <c r="D1120" s="1" t="s">
        <v>6</v>
      </c>
      <c r="E1120" s="1">
        <v>4.2973115444183296</v>
      </c>
      <c r="F1120" s="1">
        <f>Tabla1[[#This Row],[tiempo]]/(IF(Tabla1[[#This Row],[tamanho]]=$I$3,$L$3,IF(Tabla1[[#This Row],[tamanho]]=$I$4,$L$4,IF(Tabla1[[#This Row],[tamanho]]=$I$5,$L$5,IF(Tabla1[[#This Row],[tamanho]]=$I$6,$L$6,0))))*IF(C1120="8_1",9,25))</f>
        <v>4.1594970097430191E-7</v>
      </c>
    </row>
    <row r="1121" spans="1:6" ht="12.75" x14ac:dyDescent="0.2">
      <c r="A1121" s="1">
        <v>46</v>
      </c>
      <c r="B1121" s="1">
        <v>3</v>
      </c>
      <c r="C1121" s="1" t="s">
        <v>5</v>
      </c>
      <c r="D1121" s="1" t="s">
        <v>9</v>
      </c>
      <c r="E1121" s="1">
        <v>3.8466145992278999</v>
      </c>
      <c r="F1121" s="1">
        <f>Tabla1[[#This Row],[tiempo]]/(IF(Tabla1[[#This Row],[tamanho]]=$I$3,$L$3,IF(Tabla1[[#This Row],[tamanho]]=$I$4,$L$4,IF(Tabla1[[#This Row],[tamanho]]=$I$5,$L$5,IF(Tabla1[[#This Row],[tamanho]]=$I$6,$L$6,0))))*IF(C1121="8_1",9,25))</f>
        <v>1.0342371915907044E-6</v>
      </c>
    </row>
    <row r="1122" spans="1:6" ht="12.75" x14ac:dyDescent="0.2">
      <c r="A1122" s="1">
        <v>46</v>
      </c>
      <c r="B1122" s="1">
        <v>3</v>
      </c>
      <c r="C1122" s="1" t="s">
        <v>7</v>
      </c>
      <c r="D1122" s="1" t="s">
        <v>9</v>
      </c>
      <c r="E1122" s="1">
        <v>4.3353548049926696</v>
      </c>
      <c r="F1122" s="1">
        <f>Tabla1[[#This Row],[tiempo]]/(IF(Tabla1[[#This Row],[tamanho]]=$I$3,$L$3,IF(Tabla1[[#This Row],[tamanho]]=$I$4,$L$4,IF(Tabla1[[#This Row],[tamanho]]=$I$5,$L$5,IF(Tabla1[[#This Row],[tamanho]]=$I$6,$L$6,0))))*IF(C1122="8_1",9,25))</f>
        <v>4.1963202251334361E-7</v>
      </c>
    </row>
    <row r="1123" spans="1:6" ht="12.75" x14ac:dyDescent="0.2">
      <c r="A1123" s="1">
        <v>46</v>
      </c>
      <c r="B1123" s="1">
        <v>3</v>
      </c>
      <c r="C1123" s="1" t="s">
        <v>8</v>
      </c>
      <c r="D1123" s="1" t="s">
        <v>9</v>
      </c>
      <c r="E1123" s="1">
        <v>4.3202714920043901</v>
      </c>
      <c r="F1123" s="1">
        <f>Tabla1[[#This Row],[tiempo]]/(IF(Tabla1[[#This Row],[tamanho]]=$I$3,$L$3,IF(Tabla1[[#This Row],[tamanho]]=$I$4,$L$4,IF(Tabla1[[#This Row],[tamanho]]=$I$5,$L$5,IF(Tabla1[[#This Row],[tamanho]]=$I$6,$L$6,0))))*IF(C1123="8_1",9,25))</f>
        <v>4.1817206331272997E-7</v>
      </c>
    </row>
    <row r="1124" spans="1:6" ht="12.75" x14ac:dyDescent="0.2">
      <c r="A1124" s="1">
        <v>46</v>
      </c>
      <c r="B1124" s="1">
        <v>4</v>
      </c>
      <c r="C1124" s="1" t="s">
        <v>5</v>
      </c>
      <c r="D1124" s="1" t="s">
        <v>6</v>
      </c>
      <c r="E1124" s="1">
        <v>6.8352694511413503</v>
      </c>
      <c r="F1124" s="1">
        <f>Tabla1[[#This Row],[tiempo]]/(IF(Tabla1[[#This Row],[tamanho]]=$I$3,$L$3,IF(Tabla1[[#This Row],[tamanho]]=$I$4,$L$4,IF(Tabla1[[#This Row],[tamanho]]=$I$5,$L$5,IF(Tabla1[[#This Row],[tamanho]]=$I$6,$L$6,0))))*IF(C1124="8_1",9,25))</f>
        <v>1.0321708167269638E-6</v>
      </c>
    </row>
    <row r="1125" spans="1:6" ht="12.75" x14ac:dyDescent="0.2">
      <c r="A1125" s="1">
        <v>46</v>
      </c>
      <c r="B1125" s="1">
        <v>4</v>
      </c>
      <c r="C1125" s="1" t="s">
        <v>7</v>
      </c>
      <c r="D1125" s="1" t="s">
        <v>6</v>
      </c>
      <c r="E1125" s="1">
        <v>7.6746666431427002</v>
      </c>
      <c r="F1125" s="1">
        <f>Tabla1[[#This Row],[tiempo]]/(IF(Tabla1[[#This Row],[tamanho]]=$I$3,$L$3,IF(Tabla1[[#This Row],[tamanho]]=$I$4,$L$4,IF(Tabla1[[#This Row],[tamanho]]=$I$5,$L$5,IF(Tabla1[[#This Row],[tamanho]]=$I$6,$L$6,0))))*IF(C1125="8_1",9,25))</f>
        <v>4.1721312053050616E-7</v>
      </c>
    </row>
    <row r="1126" spans="1:6" ht="12.75" x14ac:dyDescent="0.2">
      <c r="A1126" s="1">
        <v>46</v>
      </c>
      <c r="B1126" s="1">
        <v>4</v>
      </c>
      <c r="C1126" s="1" t="s">
        <v>8</v>
      </c>
      <c r="D1126" s="1" t="s">
        <v>6</v>
      </c>
      <c r="E1126" s="1">
        <v>7.6294362545013401</v>
      </c>
      <c r="F1126" s="1">
        <f>Tabla1[[#This Row],[tiempo]]/(IF(Tabla1[[#This Row],[tamanho]]=$I$3,$L$3,IF(Tabla1[[#This Row],[tamanho]]=$I$4,$L$4,IF(Tabla1[[#This Row],[tamanho]]=$I$5,$L$5,IF(Tabla1[[#This Row],[tamanho]]=$I$6,$L$6,0))))*IF(C1126="8_1",9,25))</f>
        <v>4.1475428909647501E-7</v>
      </c>
    </row>
    <row r="1127" spans="1:6" ht="12.75" x14ac:dyDescent="0.2">
      <c r="A1127" s="1">
        <v>46</v>
      </c>
      <c r="B1127" s="1">
        <v>4</v>
      </c>
      <c r="C1127" s="1" t="s">
        <v>5</v>
      </c>
      <c r="D1127" s="1" t="s">
        <v>9</v>
      </c>
      <c r="E1127" s="1">
        <v>6.8376793861389098</v>
      </c>
      <c r="F1127" s="1">
        <f>Tabla1[[#This Row],[tiempo]]/(IF(Tabla1[[#This Row],[tamanho]]=$I$3,$L$3,IF(Tabla1[[#This Row],[tamanho]]=$I$4,$L$4,IF(Tabla1[[#This Row],[tamanho]]=$I$5,$L$5,IF(Tabla1[[#This Row],[tamanho]]=$I$6,$L$6,0))))*IF(C1127="8_1",9,25))</f>
        <v>1.0325347328230986E-6</v>
      </c>
    </row>
    <row r="1128" spans="1:6" ht="12.75" x14ac:dyDescent="0.2">
      <c r="A1128" s="1">
        <v>46</v>
      </c>
      <c r="B1128" s="1">
        <v>4</v>
      </c>
      <c r="C1128" s="1" t="s">
        <v>7</v>
      </c>
      <c r="D1128" s="1" t="s">
        <v>9</v>
      </c>
      <c r="E1128" s="1">
        <v>7.6475772857665998</v>
      </c>
      <c r="F1128" s="1">
        <f>Tabla1[[#This Row],[tiempo]]/(IF(Tabla1[[#This Row],[tamanho]]=$I$3,$L$3,IF(Tabla1[[#This Row],[tamanho]]=$I$4,$L$4,IF(Tabla1[[#This Row],[tamanho]]=$I$5,$L$5,IF(Tabla1[[#This Row],[tamanho]]=$I$6,$L$6,0))))*IF(C1128="8_1",9,25))</f>
        <v>4.157404786752215E-7</v>
      </c>
    </row>
    <row r="1129" spans="1:6" ht="12.75" x14ac:dyDescent="0.2">
      <c r="A1129" s="1">
        <v>46</v>
      </c>
      <c r="B1129" s="1">
        <v>4</v>
      </c>
      <c r="C1129" s="1" t="s">
        <v>8</v>
      </c>
      <c r="D1129" s="1" t="s">
        <v>9</v>
      </c>
      <c r="E1129" s="1">
        <v>7.7692332267761204</v>
      </c>
      <c r="F1129" s="1">
        <f>Tabla1[[#This Row],[tiempo]]/(IF(Tabla1[[#This Row],[tamanho]]=$I$3,$L$3,IF(Tabla1[[#This Row],[tamanho]]=$I$4,$L$4,IF(Tabla1[[#This Row],[tamanho]]=$I$5,$L$5,IF(Tabla1[[#This Row],[tamanho]]=$I$6,$L$6,0))))*IF(C1129="8_1",9,25))</f>
        <v>4.2235398479082693E-7</v>
      </c>
    </row>
    <row r="1130" spans="1:6" ht="12.75" x14ac:dyDescent="0.2">
      <c r="A1130" s="1">
        <v>47</v>
      </c>
      <c r="B1130" s="1">
        <v>1</v>
      </c>
      <c r="C1130" s="1" t="s">
        <v>5</v>
      </c>
      <c r="D1130" s="1" t="s">
        <v>6</v>
      </c>
      <c r="E1130" s="1">
        <v>0.403538227081298</v>
      </c>
      <c r="F1130" s="1">
        <f>Tabla1[[#This Row],[tiempo]]/(IF(Tabla1[[#This Row],[tamanho]]=$I$3,$L$3,IF(Tabla1[[#This Row],[tamanho]]=$I$4,$L$4,IF(Tabla1[[#This Row],[tamanho]]=$I$5,$L$5,IF(Tabla1[[#This Row],[tamanho]]=$I$6,$L$6,0))))*IF(C1130="8_1",9,25))</f>
        <v>1.6630533283932676E-6</v>
      </c>
    </row>
    <row r="1131" spans="1:6" ht="12.75" x14ac:dyDescent="0.2">
      <c r="A1131" s="1">
        <v>47</v>
      </c>
      <c r="B1131" s="1">
        <v>1</v>
      </c>
      <c r="C1131" s="1" t="s">
        <v>7</v>
      </c>
      <c r="D1131" s="1" t="s">
        <v>6</v>
      </c>
      <c r="E1131" s="1">
        <v>0.45653271675109802</v>
      </c>
      <c r="F1131" s="1">
        <f>Tabla1[[#This Row],[tiempo]]/(IF(Tabla1[[#This Row],[tamanho]]=$I$3,$L$3,IF(Tabla1[[#This Row],[tamanho]]=$I$4,$L$4,IF(Tabla1[[#This Row],[tamanho]]=$I$5,$L$5,IF(Tabla1[[#This Row],[tamanho]]=$I$6,$L$6,0))))*IF(C1131="8_1",9,25))</f>
        <v>6.773231211766597E-7</v>
      </c>
    </row>
    <row r="1132" spans="1:6" ht="12.75" x14ac:dyDescent="0.2">
      <c r="A1132" s="1">
        <v>47</v>
      </c>
      <c r="B1132" s="1">
        <v>1</v>
      </c>
      <c r="C1132" s="1" t="s">
        <v>8</v>
      </c>
      <c r="D1132" s="1" t="s">
        <v>6</v>
      </c>
      <c r="E1132" s="1">
        <v>0.46123504638671797</v>
      </c>
      <c r="F1132" s="1">
        <f>Tabla1[[#This Row],[tiempo]]/(IF(Tabla1[[#This Row],[tamanho]]=$I$3,$L$3,IF(Tabla1[[#This Row],[tamanho]]=$I$4,$L$4,IF(Tabla1[[#This Row],[tamanho]]=$I$5,$L$5,IF(Tabla1[[#This Row],[tamanho]]=$I$6,$L$6,0))))*IF(C1132="8_1",9,25))</f>
        <v>6.8429961260593892E-7</v>
      </c>
    </row>
    <row r="1133" spans="1:6" ht="12.75" x14ac:dyDescent="0.2">
      <c r="A1133" s="1">
        <v>47</v>
      </c>
      <c r="B1133" s="1">
        <v>1</v>
      </c>
      <c r="C1133" s="1" t="s">
        <v>5</v>
      </c>
      <c r="D1133" s="1" t="s">
        <v>9</v>
      </c>
      <c r="E1133" s="1">
        <v>0.40774178504943798</v>
      </c>
      <c r="F1133" s="1">
        <f>Tabla1[[#This Row],[tiempo]]/(IF(Tabla1[[#This Row],[tamanho]]=$I$3,$L$3,IF(Tabla1[[#This Row],[tamanho]]=$I$4,$L$4,IF(Tabla1[[#This Row],[tamanho]]=$I$5,$L$5,IF(Tabla1[[#This Row],[tamanho]]=$I$6,$L$6,0))))*IF(C1133="8_1",9,25))</f>
        <v>1.6803769438548603E-6</v>
      </c>
    </row>
    <row r="1134" spans="1:6" ht="12.75" x14ac:dyDescent="0.2">
      <c r="A1134" s="1">
        <v>47</v>
      </c>
      <c r="B1134" s="1">
        <v>1</v>
      </c>
      <c r="C1134" s="1" t="s">
        <v>7</v>
      </c>
      <c r="D1134" s="1" t="s">
        <v>9</v>
      </c>
      <c r="E1134" s="1">
        <v>0.46002316474914501</v>
      </c>
      <c r="F1134" s="1">
        <f>Tabla1[[#This Row],[tiempo]]/(IF(Tabla1[[#This Row],[tamanho]]=$I$3,$L$3,IF(Tabla1[[#This Row],[tamanho]]=$I$4,$L$4,IF(Tabla1[[#This Row],[tamanho]]=$I$5,$L$5,IF(Tabla1[[#This Row],[tamanho]]=$I$6,$L$6,0))))*IF(C1134="8_1",9,25))</f>
        <v>6.8250163532383068E-7</v>
      </c>
    </row>
    <row r="1135" spans="1:6" ht="12.75" x14ac:dyDescent="0.2">
      <c r="A1135" s="1">
        <v>47</v>
      </c>
      <c r="B1135" s="1">
        <v>1</v>
      </c>
      <c r="C1135" s="1" t="s">
        <v>8</v>
      </c>
      <c r="D1135" s="1" t="s">
        <v>9</v>
      </c>
      <c r="E1135" s="1">
        <v>0.465807914733886</v>
      </c>
      <c r="F1135" s="1">
        <f>Tabla1[[#This Row],[tiempo]]/(IF(Tabla1[[#This Row],[tamanho]]=$I$3,$L$3,IF(Tabla1[[#This Row],[tamanho]]=$I$4,$L$4,IF(Tabla1[[#This Row],[tamanho]]=$I$5,$L$5,IF(Tabla1[[#This Row],[tamanho]]=$I$6,$L$6,0))))*IF(C1135="8_1",9,25))</f>
        <v>6.9108403209656317E-7</v>
      </c>
    </row>
    <row r="1136" spans="1:6" ht="12.75" x14ac:dyDescent="0.2">
      <c r="A1136" s="1">
        <v>47</v>
      </c>
      <c r="B1136" s="1">
        <v>2</v>
      </c>
      <c r="C1136" s="1" t="s">
        <v>5</v>
      </c>
      <c r="D1136" s="1" t="s">
        <v>6</v>
      </c>
      <c r="E1136" s="1">
        <v>1.6683650016784599</v>
      </c>
      <c r="F1136" s="1">
        <f>Tabla1[[#This Row],[tiempo]]/(IF(Tabla1[[#This Row],[tamanho]]=$I$3,$L$3,IF(Tabla1[[#This Row],[tamanho]]=$I$4,$L$4,IF(Tabla1[[#This Row],[tamanho]]=$I$5,$L$5,IF(Tabla1[[#This Row],[tamanho]]=$I$6,$L$6,0))))*IF(C1136="8_1",9,25))</f>
        <v>1.0100908287583203E-6</v>
      </c>
    </row>
    <row r="1137" spans="1:6" ht="12.75" x14ac:dyDescent="0.2">
      <c r="A1137" s="1">
        <v>47</v>
      </c>
      <c r="B1137" s="1">
        <v>2</v>
      </c>
      <c r="C1137" s="1" t="s">
        <v>7</v>
      </c>
      <c r="D1137" s="1" t="s">
        <v>6</v>
      </c>
      <c r="E1137" s="1">
        <v>1.86856961250305</v>
      </c>
      <c r="F1137" s="1">
        <f>Tabla1[[#This Row],[tiempo]]/(IF(Tabla1[[#This Row],[tamanho]]=$I$3,$L$3,IF(Tabla1[[#This Row],[tamanho]]=$I$4,$L$4,IF(Tabla1[[#This Row],[tamanho]]=$I$5,$L$5,IF(Tabla1[[#This Row],[tamanho]]=$I$6,$L$6,0))))*IF(C1137="8_1",9,25))</f>
        <v>4.0726879883677162E-7</v>
      </c>
    </row>
    <row r="1138" spans="1:6" ht="12.75" x14ac:dyDescent="0.2">
      <c r="A1138" s="1">
        <v>47</v>
      </c>
      <c r="B1138" s="1">
        <v>2</v>
      </c>
      <c r="C1138" s="1" t="s">
        <v>8</v>
      </c>
      <c r="D1138" s="1" t="s">
        <v>6</v>
      </c>
      <c r="E1138" s="1">
        <v>1.8835361003875699</v>
      </c>
      <c r="F1138" s="1">
        <f>Tabla1[[#This Row],[tiempo]]/(IF(Tabla1[[#This Row],[tamanho]]=$I$3,$L$3,IF(Tabla1[[#This Row],[tamanho]]=$I$4,$L$4,IF(Tabla1[[#This Row],[tamanho]]=$I$5,$L$5,IF(Tabla1[[#This Row],[tamanho]]=$I$6,$L$6,0))))*IF(C1138="8_1",9,25))</f>
        <v>4.1053085742037901E-7</v>
      </c>
    </row>
    <row r="1139" spans="1:6" ht="12.75" x14ac:dyDescent="0.2">
      <c r="A1139" s="1">
        <v>47</v>
      </c>
      <c r="B1139" s="1">
        <v>2</v>
      </c>
      <c r="C1139" s="1" t="s">
        <v>5</v>
      </c>
      <c r="D1139" s="1" t="s">
        <v>9</v>
      </c>
      <c r="E1139" s="1">
        <v>1.6951551437377901</v>
      </c>
      <c r="F1139" s="1">
        <f>Tabla1[[#This Row],[tiempo]]/(IF(Tabla1[[#This Row],[tamanho]]=$I$3,$L$3,IF(Tabla1[[#This Row],[tamanho]]=$I$4,$L$4,IF(Tabla1[[#This Row],[tamanho]]=$I$5,$L$5,IF(Tabla1[[#This Row],[tamanho]]=$I$6,$L$6,0))))*IF(C1139="8_1",9,25))</f>
        <v>1.0263105868856112E-6</v>
      </c>
    </row>
    <row r="1140" spans="1:6" ht="12.75" x14ac:dyDescent="0.2">
      <c r="A1140" s="1">
        <v>47</v>
      </c>
      <c r="B1140" s="1">
        <v>2</v>
      </c>
      <c r="C1140" s="1" t="s">
        <v>7</v>
      </c>
      <c r="D1140" s="1" t="s">
        <v>9</v>
      </c>
      <c r="E1140" s="1">
        <v>1.9027953147888099</v>
      </c>
      <c r="F1140" s="1">
        <f>Tabla1[[#This Row],[tiempo]]/(IF(Tabla1[[#This Row],[tamanho]]=$I$3,$L$3,IF(Tabla1[[#This Row],[tamanho]]=$I$4,$L$4,IF(Tabla1[[#This Row],[tamanho]]=$I$5,$L$5,IF(Tabla1[[#This Row],[tamanho]]=$I$6,$L$6,0))))*IF(C1140="8_1",9,25))</f>
        <v>4.1472854802994953E-7</v>
      </c>
    </row>
    <row r="1141" spans="1:6" ht="12.75" x14ac:dyDescent="0.2">
      <c r="A1141" s="1">
        <v>47</v>
      </c>
      <c r="B1141" s="1">
        <v>2</v>
      </c>
      <c r="C1141" s="1" t="s">
        <v>8</v>
      </c>
      <c r="D1141" s="1" t="s">
        <v>9</v>
      </c>
      <c r="E1141" s="1">
        <v>1.9274938106536801</v>
      </c>
      <c r="F1141" s="1">
        <f>Tabla1[[#This Row],[tiempo]]/(IF(Tabla1[[#This Row],[tamanho]]=$I$3,$L$3,IF(Tabla1[[#This Row],[tamanho]]=$I$4,$L$4,IF(Tabla1[[#This Row],[tamanho]]=$I$5,$L$5,IF(Tabla1[[#This Row],[tamanho]]=$I$6,$L$6,0))))*IF(C1141="8_1",9,25))</f>
        <v>4.2011177093834636E-7</v>
      </c>
    </row>
    <row r="1142" spans="1:6" ht="12.75" x14ac:dyDescent="0.2">
      <c r="A1142" s="1">
        <v>47</v>
      </c>
      <c r="B1142" s="1">
        <v>3</v>
      </c>
      <c r="C1142" s="1" t="s">
        <v>5</v>
      </c>
      <c r="D1142" s="1" t="s">
        <v>6</v>
      </c>
      <c r="E1142" s="1">
        <v>3.80983567237854</v>
      </c>
      <c r="F1142" s="1">
        <f>Tabla1[[#This Row],[tiempo]]/(IF(Tabla1[[#This Row],[tamanho]]=$I$3,$L$3,IF(Tabla1[[#This Row],[tamanho]]=$I$4,$L$4,IF(Tabla1[[#This Row],[tamanho]]=$I$5,$L$5,IF(Tabla1[[#This Row],[tamanho]]=$I$6,$L$6,0))))*IF(C1142="8_1",9,25))</f>
        <v>1.0243484613752996E-6</v>
      </c>
    </row>
    <row r="1143" spans="1:6" ht="12.75" x14ac:dyDescent="0.2">
      <c r="A1143" s="1">
        <v>47</v>
      </c>
      <c r="B1143" s="1">
        <v>3</v>
      </c>
      <c r="C1143" s="1" t="s">
        <v>7</v>
      </c>
      <c r="D1143" s="1" t="s">
        <v>6</v>
      </c>
      <c r="E1143" s="1">
        <v>4.2419984340667698</v>
      </c>
      <c r="F1143" s="1">
        <f>Tabla1[[#This Row],[tiempo]]/(IF(Tabla1[[#This Row],[tamanho]]=$I$3,$L$3,IF(Tabla1[[#This Row],[tamanho]]=$I$4,$L$4,IF(Tabla1[[#This Row],[tamanho]]=$I$5,$L$5,IF(Tabla1[[#This Row],[tamanho]]=$I$6,$L$6,0))))*IF(C1143="8_1",9,25))</f>
        <v>4.1059577876668962E-7</v>
      </c>
    </row>
    <row r="1144" spans="1:6" ht="12.75" x14ac:dyDescent="0.2">
      <c r="A1144" s="1">
        <v>47</v>
      </c>
      <c r="B1144" s="1">
        <v>3</v>
      </c>
      <c r="C1144" s="1" t="s">
        <v>8</v>
      </c>
      <c r="D1144" s="1" t="s">
        <v>6</v>
      </c>
      <c r="E1144" s="1">
        <v>4.2588534355163503</v>
      </c>
      <c r="F1144" s="1">
        <f>Tabla1[[#This Row],[tiempo]]/(IF(Tabla1[[#This Row],[tamanho]]=$I$3,$L$3,IF(Tabla1[[#This Row],[tamanho]]=$I$4,$L$4,IF(Tabla1[[#This Row],[tamanho]]=$I$5,$L$5,IF(Tabla1[[#This Row],[tamanho]]=$I$6,$L$6,0))))*IF(C1144="8_1",9,25))</f>
        <v>4.1222722501870288E-7</v>
      </c>
    </row>
    <row r="1145" spans="1:6" ht="12.75" x14ac:dyDescent="0.2">
      <c r="A1145" s="1">
        <v>47</v>
      </c>
      <c r="B1145" s="1">
        <v>3</v>
      </c>
      <c r="C1145" s="1" t="s">
        <v>5</v>
      </c>
      <c r="D1145" s="1" t="s">
        <v>9</v>
      </c>
      <c r="E1145" s="1">
        <v>3.7845432758331299</v>
      </c>
      <c r="F1145" s="1">
        <f>Tabla1[[#This Row],[tiempo]]/(IF(Tabla1[[#This Row],[tamanho]]=$I$3,$L$3,IF(Tabla1[[#This Row],[tamanho]]=$I$4,$L$4,IF(Tabla1[[#This Row],[tamanho]]=$I$5,$L$5,IF(Tabla1[[#This Row],[tamanho]]=$I$6,$L$6,0))))*IF(C1145="8_1",9,25))</f>
        <v>1.0175481083643756E-6</v>
      </c>
    </row>
    <row r="1146" spans="1:6" ht="12.75" x14ac:dyDescent="0.2">
      <c r="A1146" s="1">
        <v>47</v>
      </c>
      <c r="B1146" s="1">
        <v>3</v>
      </c>
      <c r="C1146" s="1" t="s">
        <v>7</v>
      </c>
      <c r="D1146" s="1" t="s">
        <v>9</v>
      </c>
      <c r="E1146" s="1">
        <v>4.2426772117614702</v>
      </c>
      <c r="F1146" s="1">
        <f>Tabla1[[#This Row],[tiempo]]/(IF(Tabla1[[#This Row],[tamanho]]=$I$3,$L$3,IF(Tabla1[[#This Row],[tamanho]]=$I$4,$L$4,IF(Tabla1[[#This Row],[tamanho]]=$I$5,$L$5,IF(Tabla1[[#This Row],[tamanho]]=$I$6,$L$6,0))))*IF(C1146="8_1",9,25))</f>
        <v>4.106614796999872E-7</v>
      </c>
    </row>
    <row r="1147" spans="1:6" ht="12.75" x14ac:dyDescent="0.2">
      <c r="A1147" s="1">
        <v>47</v>
      </c>
      <c r="B1147" s="1">
        <v>3</v>
      </c>
      <c r="C1147" s="1" t="s">
        <v>8</v>
      </c>
      <c r="D1147" s="1" t="s">
        <v>9</v>
      </c>
      <c r="E1147" s="1">
        <v>4.3789837360382</v>
      </c>
      <c r="F1147" s="1">
        <f>Tabla1[[#This Row],[tiempo]]/(IF(Tabla1[[#This Row],[tamanho]]=$I$3,$L$3,IF(Tabla1[[#This Row],[tamanho]]=$I$4,$L$4,IF(Tabla1[[#This Row],[tamanho]]=$I$5,$L$5,IF(Tabla1[[#This Row],[tamanho]]=$I$6,$L$6,0))))*IF(C1147="8_1",9,25))</f>
        <v>4.2385499788635052E-7</v>
      </c>
    </row>
    <row r="1148" spans="1:6" ht="12.75" x14ac:dyDescent="0.2">
      <c r="A1148" s="1">
        <v>47</v>
      </c>
      <c r="B1148" s="1">
        <v>4</v>
      </c>
      <c r="C1148" s="1" t="s">
        <v>5</v>
      </c>
      <c r="D1148" s="1" t="s">
        <v>6</v>
      </c>
      <c r="E1148" s="1">
        <v>6.8287539482116699</v>
      </c>
      <c r="F1148" s="1">
        <f>Tabla1[[#This Row],[tiempo]]/(IF(Tabla1[[#This Row],[tamanho]]=$I$3,$L$3,IF(Tabla1[[#This Row],[tamanho]]=$I$4,$L$4,IF(Tabla1[[#This Row],[tamanho]]=$I$5,$L$5,IF(Tabla1[[#This Row],[tamanho]]=$I$6,$L$6,0))))*IF(C1148="8_1",9,25))</f>
        <v>1.0311869327662235E-6</v>
      </c>
    </row>
    <row r="1149" spans="1:6" ht="12.75" x14ac:dyDescent="0.2">
      <c r="A1149" s="1">
        <v>47</v>
      </c>
      <c r="B1149" s="1">
        <v>4</v>
      </c>
      <c r="C1149" s="1" t="s">
        <v>7</v>
      </c>
      <c r="D1149" s="1" t="s">
        <v>6</v>
      </c>
      <c r="E1149" s="1">
        <v>7.7262115478515598</v>
      </c>
      <c r="F1149" s="1">
        <f>Tabla1[[#This Row],[tiempo]]/(IF(Tabla1[[#This Row],[tamanho]]=$I$3,$L$3,IF(Tabla1[[#This Row],[tamanho]]=$I$4,$L$4,IF(Tabla1[[#This Row],[tamanho]]=$I$5,$L$5,IF(Tabla1[[#This Row],[tamanho]]=$I$6,$L$6,0))))*IF(C1149="8_1",9,25))</f>
        <v>4.2001522406685267E-7</v>
      </c>
    </row>
    <row r="1150" spans="1:6" ht="12.75" x14ac:dyDescent="0.2">
      <c r="A1150" s="1">
        <v>47</v>
      </c>
      <c r="B1150" s="1">
        <v>4</v>
      </c>
      <c r="C1150" s="1" t="s">
        <v>8</v>
      </c>
      <c r="D1150" s="1" t="s">
        <v>6</v>
      </c>
      <c r="E1150" s="1">
        <v>7.6720442771911603</v>
      </c>
      <c r="F1150" s="1">
        <f>Tabla1[[#This Row],[tiempo]]/(IF(Tabla1[[#This Row],[tamanho]]=$I$3,$L$3,IF(Tabla1[[#This Row],[tamanho]]=$I$4,$L$4,IF(Tabla1[[#This Row],[tamanho]]=$I$5,$L$5,IF(Tabla1[[#This Row],[tamanho]]=$I$6,$L$6,0))))*IF(C1150="8_1",9,25))</f>
        <v>4.1707056248431495E-7</v>
      </c>
    </row>
    <row r="1151" spans="1:6" ht="12.75" x14ac:dyDescent="0.2">
      <c r="A1151" s="1">
        <v>47</v>
      </c>
      <c r="B1151" s="1">
        <v>4</v>
      </c>
      <c r="C1151" s="1" t="s">
        <v>5</v>
      </c>
      <c r="D1151" s="1" t="s">
        <v>9</v>
      </c>
      <c r="E1151" s="1">
        <v>6.8716161251068097</v>
      </c>
      <c r="F1151" s="1">
        <f>Tabla1[[#This Row],[tiempo]]/(IF(Tabla1[[#This Row],[tamanho]]=$I$3,$L$3,IF(Tabla1[[#This Row],[tamanho]]=$I$4,$L$4,IF(Tabla1[[#This Row],[tamanho]]=$I$5,$L$5,IF(Tabla1[[#This Row],[tamanho]]=$I$6,$L$6,0))))*IF(C1151="8_1",9,25))</f>
        <v>1.0376594044732701E-6</v>
      </c>
    </row>
    <row r="1152" spans="1:6" ht="12.75" x14ac:dyDescent="0.2">
      <c r="A1152" s="1">
        <v>47</v>
      </c>
      <c r="B1152" s="1">
        <v>4</v>
      </c>
      <c r="C1152" s="1" t="s">
        <v>7</v>
      </c>
      <c r="D1152" s="1" t="s">
        <v>9</v>
      </c>
      <c r="E1152" s="1">
        <v>7.7967855930328298</v>
      </c>
      <c r="F1152" s="1">
        <f>Tabla1[[#This Row],[tiempo]]/(IF(Tabla1[[#This Row],[tamanho]]=$I$3,$L$3,IF(Tabla1[[#This Row],[tamanho]]=$I$4,$L$4,IF(Tabla1[[#This Row],[tamanho]]=$I$5,$L$5,IF(Tabla1[[#This Row],[tamanho]]=$I$6,$L$6,0))))*IF(C1152="8_1",9,25))</f>
        <v>4.238517969093809E-7</v>
      </c>
    </row>
    <row r="1153" spans="1:6" ht="12.75" x14ac:dyDescent="0.2">
      <c r="A1153" s="1">
        <v>47</v>
      </c>
      <c r="B1153" s="1">
        <v>4</v>
      </c>
      <c r="C1153" s="1" t="s">
        <v>8</v>
      </c>
      <c r="D1153" s="1" t="s">
        <v>9</v>
      </c>
      <c r="E1153" s="1">
        <v>7.8736989498138401</v>
      </c>
      <c r="F1153" s="1">
        <f>Tabla1[[#This Row],[tiempo]]/(IF(Tabla1[[#This Row],[tamanho]]=$I$3,$L$3,IF(Tabla1[[#This Row],[tamanho]]=$I$4,$L$4,IF(Tabla1[[#This Row],[tamanho]]=$I$5,$L$5,IF(Tabla1[[#This Row],[tamanho]]=$I$6,$L$6,0))))*IF(C1153="8_1",9,25))</f>
        <v>4.2803298979829329E-7</v>
      </c>
    </row>
    <row r="1154" spans="1:6" ht="12.75" x14ac:dyDescent="0.2">
      <c r="A1154" s="1">
        <v>48</v>
      </c>
      <c r="B1154" s="1">
        <v>1</v>
      </c>
      <c r="C1154" s="1" t="s">
        <v>5</v>
      </c>
      <c r="D1154" s="1" t="s">
        <v>6</v>
      </c>
      <c r="E1154" s="1">
        <v>0.39910984039306602</v>
      </c>
      <c r="F1154" s="1">
        <f>Tabla1[[#This Row],[tiempo]]/(IF(Tabla1[[#This Row],[tamanho]]=$I$3,$L$3,IF(Tabla1[[#This Row],[tamanho]]=$I$4,$L$4,IF(Tabla1[[#This Row],[tamanho]]=$I$5,$L$5,IF(Tabla1[[#This Row],[tamanho]]=$I$6,$L$6,0))))*IF(C1154="8_1",9,25))</f>
        <v>1.6448031534977109E-6</v>
      </c>
    </row>
    <row r="1155" spans="1:6" ht="12.75" x14ac:dyDescent="0.2">
      <c r="A1155" s="1">
        <v>48</v>
      </c>
      <c r="B1155" s="1">
        <v>1</v>
      </c>
      <c r="C1155" s="1" t="s">
        <v>7</v>
      </c>
      <c r="D1155" s="1" t="s">
        <v>6</v>
      </c>
      <c r="E1155" s="1">
        <v>0.44858646392822199</v>
      </c>
      <c r="F1155" s="1">
        <f>Tabla1[[#This Row],[tiempo]]/(IF(Tabla1[[#This Row],[tamanho]]=$I$3,$L$3,IF(Tabla1[[#This Row],[tamanho]]=$I$4,$L$4,IF(Tabla1[[#This Row],[tamanho]]=$I$5,$L$5,IF(Tabla1[[#This Row],[tamanho]]=$I$6,$L$6,0))))*IF(C1155="8_1",9,25))</f>
        <v>6.6553386584803525E-7</v>
      </c>
    </row>
    <row r="1156" spans="1:6" ht="12.75" x14ac:dyDescent="0.2">
      <c r="A1156" s="1">
        <v>48</v>
      </c>
      <c r="B1156" s="1">
        <v>1</v>
      </c>
      <c r="C1156" s="1" t="s">
        <v>8</v>
      </c>
      <c r="D1156" s="1" t="s">
        <v>6</v>
      </c>
      <c r="E1156" s="1">
        <v>0.454388618469238</v>
      </c>
      <c r="F1156" s="1">
        <f>Tabla1[[#This Row],[tiempo]]/(IF(Tabla1[[#This Row],[tamanho]]=$I$3,$L$3,IF(Tabla1[[#This Row],[tamanho]]=$I$4,$L$4,IF(Tabla1[[#This Row],[tamanho]]=$I$5,$L$5,IF(Tabla1[[#This Row],[tamanho]]=$I$6,$L$6,0))))*IF(C1156="8_1",9,25))</f>
        <v>6.741420844467757E-7</v>
      </c>
    </row>
    <row r="1157" spans="1:6" ht="12.75" x14ac:dyDescent="0.2">
      <c r="A1157" s="1">
        <v>48</v>
      </c>
      <c r="B1157" s="1">
        <v>1</v>
      </c>
      <c r="C1157" s="1" t="s">
        <v>5</v>
      </c>
      <c r="D1157" s="1" t="s">
        <v>9</v>
      </c>
      <c r="E1157" s="1">
        <v>0.40394115447998002</v>
      </c>
      <c r="F1157" s="1">
        <f>Tabla1[[#This Row],[tiempo]]/(IF(Tabla1[[#This Row],[tamanho]]=$I$3,$L$3,IF(Tabla1[[#This Row],[tamanho]]=$I$4,$L$4,IF(Tabla1[[#This Row],[tamanho]]=$I$5,$L$5,IF(Tabla1[[#This Row],[tamanho]]=$I$6,$L$6,0))))*IF(C1157="8_1",9,25))</f>
        <v>1.6647138643883966E-6</v>
      </c>
    </row>
    <row r="1158" spans="1:6" ht="12.75" x14ac:dyDescent="0.2">
      <c r="A1158" s="1">
        <v>48</v>
      </c>
      <c r="B1158" s="1">
        <v>1</v>
      </c>
      <c r="C1158" s="1" t="s">
        <v>7</v>
      </c>
      <c r="D1158" s="1" t="s">
        <v>9</v>
      </c>
      <c r="E1158" s="1">
        <v>0.452738046646118</v>
      </c>
      <c r="F1158" s="1">
        <f>Tabla1[[#This Row],[tiempo]]/(IF(Tabla1[[#This Row],[tamanho]]=$I$3,$L$3,IF(Tabla1[[#This Row],[tamanho]]=$I$4,$L$4,IF(Tabla1[[#This Row],[tamanho]]=$I$5,$L$5,IF(Tabla1[[#This Row],[tamanho]]=$I$6,$L$6,0))))*IF(C1158="8_1",9,25))</f>
        <v>6.7169325565983163E-7</v>
      </c>
    </row>
    <row r="1159" spans="1:6" ht="12.75" x14ac:dyDescent="0.2">
      <c r="A1159" s="1">
        <v>48</v>
      </c>
      <c r="B1159" s="1">
        <v>1</v>
      </c>
      <c r="C1159" s="1" t="s">
        <v>8</v>
      </c>
      <c r="D1159" s="1" t="s">
        <v>9</v>
      </c>
      <c r="E1159" s="1">
        <v>0.45968174934387201</v>
      </c>
      <c r="F1159" s="1">
        <f>Tabla1[[#This Row],[tiempo]]/(IF(Tabla1[[#This Row],[tamanho]]=$I$3,$L$3,IF(Tabla1[[#This Row],[tamanho]]=$I$4,$L$4,IF(Tabla1[[#This Row],[tamanho]]=$I$5,$L$5,IF(Tabla1[[#This Row],[tamanho]]=$I$6,$L$6,0))))*IF(C1159="8_1",9,25))</f>
        <v>6.8199510306572014E-7</v>
      </c>
    </row>
    <row r="1160" spans="1:6" ht="12.75" x14ac:dyDescent="0.2">
      <c r="A1160" s="1">
        <v>48</v>
      </c>
      <c r="B1160" s="1">
        <v>2</v>
      </c>
      <c r="C1160" s="1" t="s">
        <v>5</v>
      </c>
      <c r="D1160" s="1" t="s">
        <v>6</v>
      </c>
      <c r="E1160" s="1">
        <v>1.65704274177551</v>
      </c>
      <c r="F1160" s="1">
        <f>Tabla1[[#This Row],[tiempo]]/(IF(Tabla1[[#This Row],[tamanho]]=$I$3,$L$3,IF(Tabla1[[#This Row],[tamanho]]=$I$4,$L$4,IF(Tabla1[[#This Row],[tamanho]]=$I$5,$L$5,IF(Tabla1[[#This Row],[tamanho]]=$I$6,$L$6,0))))*IF(C1160="8_1",9,25))</f>
        <v>1.0032359073968183E-6</v>
      </c>
    </row>
    <row r="1161" spans="1:6" ht="12.75" x14ac:dyDescent="0.2">
      <c r="A1161" s="1">
        <v>48</v>
      </c>
      <c r="B1161" s="1">
        <v>2</v>
      </c>
      <c r="C1161" s="1" t="s">
        <v>7</v>
      </c>
      <c r="D1161" s="1" t="s">
        <v>6</v>
      </c>
      <c r="E1161" s="1">
        <v>1.8859670162200901</v>
      </c>
      <c r="F1161" s="1">
        <f>Tabla1[[#This Row],[tiempo]]/(IF(Tabla1[[#This Row],[tamanho]]=$I$3,$L$3,IF(Tabla1[[#This Row],[tamanho]]=$I$4,$L$4,IF(Tabla1[[#This Row],[tamanho]]=$I$5,$L$5,IF(Tabla1[[#This Row],[tamanho]]=$I$6,$L$6,0))))*IF(C1161="8_1",9,25))</f>
        <v>4.1106069380675669E-7</v>
      </c>
    </row>
    <row r="1162" spans="1:6" ht="12.75" x14ac:dyDescent="0.2">
      <c r="A1162" s="1">
        <v>48</v>
      </c>
      <c r="B1162" s="1">
        <v>2</v>
      </c>
      <c r="C1162" s="1" t="s">
        <v>8</v>
      </c>
      <c r="D1162" s="1" t="s">
        <v>6</v>
      </c>
      <c r="E1162" s="1">
        <v>1.89231252670288</v>
      </c>
      <c r="F1162" s="1">
        <f>Tabla1[[#This Row],[tiempo]]/(IF(Tabla1[[#This Row],[tamanho]]=$I$3,$L$3,IF(Tabla1[[#This Row],[tamanho]]=$I$4,$L$4,IF(Tabla1[[#This Row],[tamanho]]=$I$5,$L$5,IF(Tabla1[[#This Row],[tamanho]]=$I$6,$L$6,0))))*IF(C1162="8_1",9,25))</f>
        <v>4.1244374553522301E-7</v>
      </c>
    </row>
    <row r="1163" spans="1:6" ht="12.75" x14ac:dyDescent="0.2">
      <c r="A1163" s="1">
        <v>48</v>
      </c>
      <c r="B1163" s="1">
        <v>2</v>
      </c>
      <c r="C1163" s="1" t="s">
        <v>5</v>
      </c>
      <c r="D1163" s="1" t="s">
        <v>9</v>
      </c>
      <c r="E1163" s="1">
        <v>1.6823616027832</v>
      </c>
      <c r="F1163" s="1">
        <f>Tabla1[[#This Row],[tiempo]]/(IF(Tabla1[[#This Row],[tamanho]]=$I$3,$L$3,IF(Tabla1[[#This Row],[tamanho]]=$I$4,$L$4,IF(Tabla1[[#This Row],[tamanho]]=$I$5,$L$5,IF(Tabla1[[#This Row],[tamanho]]=$I$6,$L$6,0))))*IF(C1163="8_1",9,25))</f>
        <v>1.0185648967203448E-6</v>
      </c>
    </row>
    <row r="1164" spans="1:6" ht="12.75" x14ac:dyDescent="0.2">
      <c r="A1164" s="1">
        <v>48</v>
      </c>
      <c r="B1164" s="1">
        <v>2</v>
      </c>
      <c r="C1164" s="1" t="s">
        <v>7</v>
      </c>
      <c r="D1164" s="1" t="s">
        <v>9</v>
      </c>
      <c r="E1164" s="1">
        <v>1.8640935420989899</v>
      </c>
      <c r="F1164" s="1">
        <f>Tabla1[[#This Row],[tiempo]]/(IF(Tabla1[[#This Row],[tamanho]]=$I$3,$L$3,IF(Tabla1[[#This Row],[tamanho]]=$I$4,$L$4,IF(Tabla1[[#This Row],[tamanho]]=$I$5,$L$5,IF(Tabla1[[#This Row],[tamanho]]=$I$6,$L$6,0))))*IF(C1164="8_1",9,25))</f>
        <v>4.0629320563180214E-7</v>
      </c>
    </row>
    <row r="1165" spans="1:6" ht="12.75" x14ac:dyDescent="0.2">
      <c r="A1165" s="1">
        <v>48</v>
      </c>
      <c r="B1165" s="1">
        <v>2</v>
      </c>
      <c r="C1165" s="1" t="s">
        <v>8</v>
      </c>
      <c r="D1165" s="1" t="s">
        <v>9</v>
      </c>
      <c r="E1165" s="1">
        <v>1.88711190223693</v>
      </c>
      <c r="F1165" s="1">
        <f>Tabla1[[#This Row],[tiempo]]/(IF(Tabla1[[#This Row],[tamanho]]=$I$3,$L$3,IF(Tabla1[[#This Row],[tamanho]]=$I$4,$L$4,IF(Tabla1[[#This Row],[tamanho]]=$I$5,$L$5,IF(Tabla1[[#This Row],[tamanho]]=$I$6,$L$6,0))))*IF(C1165="8_1",9,25))</f>
        <v>4.1131023032376064E-7</v>
      </c>
    </row>
    <row r="1166" spans="1:6" ht="12.75" x14ac:dyDescent="0.2">
      <c r="A1166" s="1">
        <v>48</v>
      </c>
      <c r="B1166" s="1">
        <v>3</v>
      </c>
      <c r="C1166" s="1" t="s">
        <v>5</v>
      </c>
      <c r="D1166" s="1" t="s">
        <v>6</v>
      </c>
      <c r="E1166" s="1">
        <v>3.82699227333068</v>
      </c>
      <c r="F1166" s="1">
        <f>Tabla1[[#This Row],[tiempo]]/(IF(Tabla1[[#This Row],[tamanho]]=$I$3,$L$3,IF(Tabla1[[#This Row],[tamanho]]=$I$4,$L$4,IF(Tabla1[[#This Row],[tamanho]]=$I$5,$L$5,IF(Tabla1[[#This Row],[tamanho]]=$I$6,$L$6,0))))*IF(C1166="8_1",9,25))</f>
        <v>1.0289613474152853E-6</v>
      </c>
    </row>
    <row r="1167" spans="1:6" ht="12.75" x14ac:dyDescent="0.2">
      <c r="A1167" s="1">
        <v>48</v>
      </c>
      <c r="B1167" s="1">
        <v>3</v>
      </c>
      <c r="C1167" s="1" t="s">
        <v>7</v>
      </c>
      <c r="D1167" s="1" t="s">
        <v>6</v>
      </c>
      <c r="E1167" s="1">
        <v>4.2885873317718497</v>
      </c>
      <c r="F1167" s="1">
        <f>Tabla1[[#This Row],[tiempo]]/(IF(Tabla1[[#This Row],[tamanho]]=$I$3,$L$3,IF(Tabla1[[#This Row],[tamanho]]=$I$4,$L$4,IF(Tabla1[[#This Row],[tamanho]]=$I$5,$L$5,IF(Tabla1[[#This Row],[tamanho]]=$I$6,$L$6,0))))*IF(C1167="8_1",9,25))</f>
        <v>4.1510525820955682E-7</v>
      </c>
    </row>
    <row r="1168" spans="1:6" ht="12.75" x14ac:dyDescent="0.2">
      <c r="A1168" s="1">
        <v>48</v>
      </c>
      <c r="B1168" s="1">
        <v>3</v>
      </c>
      <c r="C1168" s="1" t="s">
        <v>8</v>
      </c>
      <c r="D1168" s="1" t="s">
        <v>6</v>
      </c>
      <c r="E1168" s="1">
        <v>4.3399353027343697</v>
      </c>
      <c r="F1168" s="1">
        <f>Tabla1[[#This Row],[tiempo]]/(IF(Tabla1[[#This Row],[tamanho]]=$I$3,$L$3,IF(Tabla1[[#This Row],[tamanho]]=$I$4,$L$4,IF(Tabla1[[#This Row],[tamanho]]=$I$5,$L$5,IF(Tabla1[[#This Row],[tamanho]]=$I$6,$L$6,0))))*IF(C1168="8_1",9,25))</f>
        <v>4.2007538265753613E-7</v>
      </c>
    </row>
    <row r="1169" spans="1:6" ht="12.75" x14ac:dyDescent="0.2">
      <c r="A1169" s="1">
        <v>48</v>
      </c>
      <c r="B1169" s="1">
        <v>3</v>
      </c>
      <c r="C1169" s="1" t="s">
        <v>5</v>
      </c>
      <c r="D1169" s="1" t="s">
        <v>9</v>
      </c>
      <c r="E1169" s="1">
        <v>3.7994365692138601</v>
      </c>
      <c r="F1169" s="1">
        <f>Tabla1[[#This Row],[tiempo]]/(IF(Tabla1[[#This Row],[tamanho]]=$I$3,$L$3,IF(Tabla1[[#This Row],[tamanho]]=$I$4,$L$4,IF(Tabla1[[#This Row],[tamanho]]=$I$5,$L$5,IF(Tabla1[[#This Row],[tamanho]]=$I$6,$L$6,0))))*IF(C1169="8_1",9,25))</f>
        <v>1.0215524601189586E-6</v>
      </c>
    </row>
    <row r="1170" spans="1:6" ht="12.75" x14ac:dyDescent="0.2">
      <c r="A1170" s="1">
        <v>48</v>
      </c>
      <c r="B1170" s="1">
        <v>3</v>
      </c>
      <c r="C1170" s="1" t="s">
        <v>7</v>
      </c>
      <c r="D1170" s="1" t="s">
        <v>9</v>
      </c>
      <c r="E1170" s="1">
        <v>4.2399191856384197</v>
      </c>
      <c r="F1170" s="1">
        <f>Tabla1[[#This Row],[tiempo]]/(IF(Tabla1[[#This Row],[tamanho]]=$I$3,$L$3,IF(Tabla1[[#This Row],[tamanho]]=$I$4,$L$4,IF(Tabla1[[#This Row],[tamanho]]=$I$5,$L$5,IF(Tabla1[[#This Row],[tamanho]]=$I$6,$L$6,0))))*IF(C1170="8_1",9,25))</f>
        <v>4.1039452206163483E-7</v>
      </c>
    </row>
    <row r="1171" spans="1:6" ht="12.75" x14ac:dyDescent="0.2">
      <c r="A1171" s="1">
        <v>48</v>
      </c>
      <c r="B1171" s="1">
        <v>3</v>
      </c>
      <c r="C1171" s="1" t="s">
        <v>8</v>
      </c>
      <c r="D1171" s="1" t="s">
        <v>9</v>
      </c>
      <c r="E1171" s="1">
        <v>4.3835375308990399</v>
      </c>
      <c r="F1171" s="1">
        <f>Tabla1[[#This Row],[tiempo]]/(IF(Tabla1[[#This Row],[tamanho]]=$I$3,$L$3,IF(Tabla1[[#This Row],[tamanho]]=$I$4,$L$4,IF(Tabla1[[#This Row],[tamanho]]=$I$5,$L$5,IF(Tabla1[[#This Row],[tamanho]]=$I$6,$L$6,0))))*IF(C1171="8_1",9,25))</f>
        <v>4.2429577337844275E-7</v>
      </c>
    </row>
    <row r="1172" spans="1:6" ht="12.75" x14ac:dyDescent="0.2">
      <c r="A1172" s="1">
        <v>48</v>
      </c>
      <c r="B1172" s="1">
        <v>4</v>
      </c>
      <c r="C1172" s="1" t="s">
        <v>5</v>
      </c>
      <c r="D1172" s="1" t="s">
        <v>6</v>
      </c>
      <c r="E1172" s="1">
        <v>6.8314650058746302</v>
      </c>
      <c r="F1172" s="1">
        <f>Tabla1[[#This Row],[tiempo]]/(IF(Tabla1[[#This Row],[tamanho]]=$I$3,$L$3,IF(Tabla1[[#This Row],[tamanho]]=$I$4,$L$4,IF(Tabla1[[#This Row],[tamanho]]=$I$5,$L$5,IF(Tabla1[[#This Row],[tamanho]]=$I$6,$L$6,0))))*IF(C1172="8_1",9,25))</f>
        <v>1.0315963203729848E-6</v>
      </c>
    </row>
    <row r="1173" spans="1:6" ht="12.75" x14ac:dyDescent="0.2">
      <c r="A1173" s="1">
        <v>48</v>
      </c>
      <c r="B1173" s="1">
        <v>4</v>
      </c>
      <c r="C1173" s="1" t="s">
        <v>7</v>
      </c>
      <c r="D1173" s="1" t="s">
        <v>6</v>
      </c>
      <c r="E1173" s="1">
        <v>7.6835365295410103</v>
      </c>
      <c r="F1173" s="1">
        <f>Tabla1[[#This Row],[tiempo]]/(IF(Tabla1[[#This Row],[tamanho]]=$I$3,$L$3,IF(Tabla1[[#This Row],[tamanho]]=$I$4,$L$4,IF(Tabla1[[#This Row],[tamanho]]=$I$5,$L$5,IF(Tabla1[[#This Row],[tamanho]]=$I$6,$L$6,0))))*IF(C1173="8_1",9,25))</f>
        <v>4.176953086378289E-7</v>
      </c>
    </row>
    <row r="1174" spans="1:6" ht="12.75" x14ac:dyDescent="0.2">
      <c r="A1174" s="1">
        <v>48</v>
      </c>
      <c r="B1174" s="1">
        <v>4</v>
      </c>
      <c r="C1174" s="1" t="s">
        <v>8</v>
      </c>
      <c r="D1174" s="1" t="s">
        <v>6</v>
      </c>
      <c r="E1174" s="1">
        <v>7.6895551681518501</v>
      </c>
      <c r="F1174" s="1">
        <f>Tabla1[[#This Row],[tiempo]]/(IF(Tabla1[[#This Row],[tamanho]]=$I$3,$L$3,IF(Tabla1[[#This Row],[tamanho]]=$I$4,$L$4,IF(Tabla1[[#This Row],[tamanho]]=$I$5,$L$5,IF(Tabla1[[#This Row],[tamanho]]=$I$6,$L$6,0))))*IF(C1174="8_1",9,25))</f>
        <v>4.1802249613833322E-7</v>
      </c>
    </row>
    <row r="1175" spans="1:6" ht="12.75" x14ac:dyDescent="0.2">
      <c r="A1175" s="1">
        <v>48</v>
      </c>
      <c r="B1175" s="1">
        <v>4</v>
      </c>
      <c r="C1175" s="1" t="s">
        <v>5</v>
      </c>
      <c r="D1175" s="1" t="s">
        <v>9</v>
      </c>
      <c r="E1175" s="1">
        <v>6.86042928695678</v>
      </c>
      <c r="F1175" s="1">
        <f>Tabla1[[#This Row],[tiempo]]/(IF(Tabla1[[#This Row],[tamanho]]=$I$3,$L$3,IF(Tabla1[[#This Row],[tamanho]]=$I$4,$L$4,IF(Tabla1[[#This Row],[tamanho]]=$I$5,$L$5,IF(Tabla1[[#This Row],[tamanho]]=$I$6,$L$6,0))))*IF(C1175="8_1",9,25))</f>
        <v>1.0359701180519453E-6</v>
      </c>
    </row>
    <row r="1176" spans="1:6" ht="12.75" x14ac:dyDescent="0.2">
      <c r="A1176" s="1">
        <v>48</v>
      </c>
      <c r="B1176" s="1">
        <v>4</v>
      </c>
      <c r="C1176" s="1" t="s">
        <v>7</v>
      </c>
      <c r="D1176" s="1" t="s">
        <v>9</v>
      </c>
      <c r="E1176" s="1">
        <v>7.6145348548889098</v>
      </c>
      <c r="F1176" s="1">
        <f>Tabla1[[#This Row],[tiempo]]/(IF(Tabla1[[#This Row],[tamanho]]=$I$3,$L$3,IF(Tabla1[[#This Row],[tamanho]]=$I$4,$L$4,IF(Tabla1[[#This Row],[tamanho]]=$I$5,$L$5,IF(Tabla1[[#This Row],[tamanho]]=$I$6,$L$6,0))))*IF(C1176="8_1",9,25))</f>
        <v>4.1394421359461215E-7</v>
      </c>
    </row>
    <row r="1177" spans="1:6" ht="12.75" x14ac:dyDescent="0.2">
      <c r="A1177" s="1">
        <v>48</v>
      </c>
      <c r="B1177" s="1">
        <v>4</v>
      </c>
      <c r="C1177" s="1" t="s">
        <v>8</v>
      </c>
      <c r="D1177" s="1" t="s">
        <v>9</v>
      </c>
      <c r="E1177" s="1">
        <v>7.6481692790985099</v>
      </c>
      <c r="F1177" s="1">
        <f>Tabla1[[#This Row],[tiempo]]/(IF(Tabla1[[#This Row],[tamanho]]=$I$3,$L$3,IF(Tabla1[[#This Row],[tamanho]]=$I$4,$L$4,IF(Tabla1[[#This Row],[tamanho]]=$I$5,$L$5,IF(Tabla1[[#This Row],[tamanho]]=$I$6,$L$6,0))))*IF(C1177="8_1",9,25))</f>
        <v>4.157726608398449E-7</v>
      </c>
    </row>
    <row r="1178" spans="1:6" ht="12.75" x14ac:dyDescent="0.2">
      <c r="A1178" s="1">
        <v>49</v>
      </c>
      <c r="B1178" s="1">
        <v>1</v>
      </c>
      <c r="C1178" s="1" t="s">
        <v>5</v>
      </c>
      <c r="D1178" s="1" t="s">
        <v>6</v>
      </c>
      <c r="E1178" s="1">
        <v>0.40245032310485801</v>
      </c>
      <c r="F1178" s="1">
        <f>Tabla1[[#This Row],[tiempo]]/(IF(Tabla1[[#This Row],[tamanho]]=$I$3,$L$3,IF(Tabla1[[#This Row],[tamanho]]=$I$4,$L$4,IF(Tabla1[[#This Row],[tamanho]]=$I$5,$L$5,IF(Tabla1[[#This Row],[tamanho]]=$I$6,$L$6,0))))*IF(C1178="8_1",9,25))</f>
        <v>1.6585698812064257E-6</v>
      </c>
    </row>
    <row r="1179" spans="1:6" ht="12.75" x14ac:dyDescent="0.2">
      <c r="A1179" s="1">
        <v>49</v>
      </c>
      <c r="B1179" s="1">
        <v>1</v>
      </c>
      <c r="C1179" s="1" t="s">
        <v>7</v>
      </c>
      <c r="D1179" s="1" t="s">
        <v>6</v>
      </c>
      <c r="E1179" s="1">
        <v>0.45266246795654203</v>
      </c>
      <c r="F1179" s="1">
        <f>Tabla1[[#This Row],[tiempo]]/(IF(Tabla1[[#This Row],[tamanho]]=$I$3,$L$3,IF(Tabla1[[#This Row],[tamanho]]=$I$4,$L$4,IF(Tabla1[[#This Row],[tamanho]]=$I$5,$L$5,IF(Tabla1[[#This Row],[tamanho]]=$I$6,$L$6,0))))*IF(C1179="8_1",9,25))</f>
        <v>6.7158112526470382E-7</v>
      </c>
    </row>
    <row r="1180" spans="1:6" ht="12.75" x14ac:dyDescent="0.2">
      <c r="A1180" s="1">
        <v>49</v>
      </c>
      <c r="B1180" s="1">
        <v>1</v>
      </c>
      <c r="C1180" s="1" t="s">
        <v>8</v>
      </c>
      <c r="D1180" s="1" t="s">
        <v>6</v>
      </c>
      <c r="E1180" s="1">
        <v>0.457167148590087</v>
      </c>
      <c r="F1180" s="1">
        <f>Tabla1[[#This Row],[tiempo]]/(IF(Tabla1[[#This Row],[tamanho]]=$I$3,$L$3,IF(Tabla1[[#This Row],[tamanho]]=$I$4,$L$4,IF(Tabla1[[#This Row],[tamanho]]=$I$5,$L$5,IF(Tabla1[[#This Row],[tamanho]]=$I$6,$L$6,0))))*IF(C1180="8_1",9,25))</f>
        <v>6.7826437979316344E-7</v>
      </c>
    </row>
    <row r="1181" spans="1:6" ht="12.75" x14ac:dyDescent="0.2">
      <c r="A1181" s="1">
        <v>49</v>
      </c>
      <c r="B1181" s="1">
        <v>1</v>
      </c>
      <c r="C1181" s="1" t="s">
        <v>5</v>
      </c>
      <c r="D1181" s="1" t="s">
        <v>9</v>
      </c>
      <c r="E1181" s="1">
        <v>0.40447425842285101</v>
      </c>
      <c r="F1181" s="1">
        <f>Tabla1[[#This Row],[tiempo]]/(IF(Tabla1[[#This Row],[tamanho]]=$I$3,$L$3,IF(Tabla1[[#This Row],[tamanho]]=$I$4,$L$4,IF(Tabla1[[#This Row],[tamanho]]=$I$5,$L$5,IF(Tabla1[[#This Row],[tamanho]]=$I$6,$L$6,0))))*IF(C1181="8_1",9,25))</f>
        <v>1.6669108812434875E-6</v>
      </c>
    </row>
    <row r="1182" spans="1:6" ht="12.75" x14ac:dyDescent="0.2">
      <c r="A1182" s="1">
        <v>49</v>
      </c>
      <c r="B1182" s="1">
        <v>1</v>
      </c>
      <c r="C1182" s="1" t="s">
        <v>7</v>
      </c>
      <c r="D1182" s="1" t="s">
        <v>9</v>
      </c>
      <c r="E1182" s="1">
        <v>0.45917701721191401</v>
      </c>
      <c r="F1182" s="1">
        <f>Tabla1[[#This Row],[tiempo]]/(IF(Tabla1[[#This Row],[tamanho]]=$I$3,$L$3,IF(Tabla1[[#This Row],[tamanho]]=$I$4,$L$4,IF(Tabla1[[#This Row],[tamanho]]=$I$5,$L$5,IF(Tabla1[[#This Row],[tamanho]]=$I$6,$L$6,0))))*IF(C1182="8_1",9,25))</f>
        <v>6.8124627011151513E-7</v>
      </c>
    </row>
    <row r="1183" spans="1:6" ht="12.75" x14ac:dyDescent="0.2">
      <c r="A1183" s="1">
        <v>49</v>
      </c>
      <c r="B1183" s="1">
        <v>1</v>
      </c>
      <c r="C1183" s="1" t="s">
        <v>8</v>
      </c>
      <c r="D1183" s="1" t="s">
        <v>9</v>
      </c>
      <c r="E1183" s="1">
        <v>0.46118402481079102</v>
      </c>
      <c r="F1183" s="1">
        <f>Tabla1[[#This Row],[tiempo]]/(IF(Tabla1[[#This Row],[tamanho]]=$I$3,$L$3,IF(Tabla1[[#This Row],[tamanho]]=$I$4,$L$4,IF(Tabla1[[#This Row],[tamanho]]=$I$5,$L$5,IF(Tabla1[[#This Row],[tamanho]]=$I$6,$L$6,0))))*IF(C1183="8_1",9,25))</f>
        <v>6.8422391574613849E-7</v>
      </c>
    </row>
    <row r="1184" spans="1:6" ht="12.75" x14ac:dyDescent="0.2">
      <c r="A1184" s="1">
        <v>49</v>
      </c>
      <c r="B1184" s="1">
        <v>2</v>
      </c>
      <c r="C1184" s="1" t="s">
        <v>5</v>
      </c>
      <c r="D1184" s="1" t="s">
        <v>6</v>
      </c>
      <c r="E1184" s="1">
        <v>1.6829304695129299</v>
      </c>
      <c r="F1184" s="1">
        <f>Tabla1[[#This Row],[tiempo]]/(IF(Tabla1[[#This Row],[tamanho]]=$I$3,$L$3,IF(Tabla1[[#This Row],[tamanho]]=$I$4,$L$4,IF(Tabla1[[#This Row],[tamanho]]=$I$5,$L$5,IF(Tabla1[[#This Row],[tamanho]]=$I$6,$L$6,0))))*IF(C1184="8_1",9,25))</f>
        <v>1.0189093100027548E-6</v>
      </c>
    </row>
    <row r="1185" spans="1:6" ht="12.75" x14ac:dyDescent="0.2">
      <c r="A1185" s="1">
        <v>49</v>
      </c>
      <c r="B1185" s="1">
        <v>2</v>
      </c>
      <c r="C1185" s="1" t="s">
        <v>7</v>
      </c>
      <c r="D1185" s="1" t="s">
        <v>6</v>
      </c>
      <c r="E1185" s="1">
        <v>1.87903428077697</v>
      </c>
      <c r="F1185" s="1">
        <f>Tabla1[[#This Row],[tiempo]]/(IF(Tabla1[[#This Row],[tamanho]]=$I$3,$L$3,IF(Tabla1[[#This Row],[tamanho]]=$I$4,$L$4,IF(Tabla1[[#This Row],[tamanho]]=$I$5,$L$5,IF(Tabla1[[#This Row],[tamanho]]=$I$6,$L$6,0))))*IF(C1185="8_1",9,25))</f>
        <v>4.0954965198220815E-7</v>
      </c>
    </row>
    <row r="1186" spans="1:6" ht="12.75" x14ac:dyDescent="0.2">
      <c r="A1186" s="1">
        <v>49</v>
      </c>
      <c r="B1186" s="1">
        <v>2</v>
      </c>
      <c r="C1186" s="1" t="s">
        <v>8</v>
      </c>
      <c r="D1186" s="1" t="s">
        <v>6</v>
      </c>
      <c r="E1186" s="1">
        <v>1.8940348625183101</v>
      </c>
      <c r="F1186" s="1">
        <f>Tabla1[[#This Row],[tiempo]]/(IF(Tabla1[[#This Row],[tamanho]]=$I$3,$L$3,IF(Tabla1[[#This Row],[tamanho]]=$I$4,$L$4,IF(Tabla1[[#This Row],[tamanho]]=$I$5,$L$5,IF(Tabla1[[#This Row],[tamanho]]=$I$6,$L$6,0))))*IF(C1186="8_1",9,25))</f>
        <v>4.12819141578298E-7</v>
      </c>
    </row>
    <row r="1187" spans="1:6" ht="12.75" x14ac:dyDescent="0.2">
      <c r="A1187" s="1">
        <v>49</v>
      </c>
      <c r="B1187" s="1">
        <v>2</v>
      </c>
      <c r="C1187" s="1" t="s">
        <v>5</v>
      </c>
      <c r="D1187" s="1" t="s">
        <v>9</v>
      </c>
      <c r="E1187" s="1">
        <v>1.6965355873107899</v>
      </c>
      <c r="F1187" s="1">
        <f>Tabla1[[#This Row],[tiempo]]/(IF(Tabla1[[#This Row],[tamanho]]=$I$3,$L$3,IF(Tabla1[[#This Row],[tamanho]]=$I$4,$L$4,IF(Tabla1[[#This Row],[tamanho]]=$I$5,$L$5,IF(Tabla1[[#This Row],[tamanho]]=$I$6,$L$6,0))))*IF(C1187="8_1",9,25))</f>
        <v>1.0271463592683348E-6</v>
      </c>
    </row>
    <row r="1188" spans="1:6" ht="12.75" x14ac:dyDescent="0.2">
      <c r="A1188" s="1">
        <v>49</v>
      </c>
      <c r="B1188" s="1">
        <v>2</v>
      </c>
      <c r="C1188" s="1" t="s">
        <v>7</v>
      </c>
      <c r="D1188" s="1" t="s">
        <v>9</v>
      </c>
      <c r="E1188" s="1">
        <v>1.8875372409820499</v>
      </c>
      <c r="F1188" s="1">
        <f>Tabla1[[#This Row],[tiempo]]/(IF(Tabla1[[#This Row],[tamanho]]=$I$3,$L$3,IF(Tabla1[[#This Row],[tamanho]]=$I$4,$L$4,IF(Tabla1[[#This Row],[tamanho]]=$I$5,$L$5,IF(Tabla1[[#This Row],[tamanho]]=$I$6,$L$6,0))))*IF(C1188="8_1",9,25))</f>
        <v>4.1140293610184062E-7</v>
      </c>
    </row>
    <row r="1189" spans="1:6" ht="12.75" x14ac:dyDescent="0.2">
      <c r="A1189" s="1">
        <v>49</v>
      </c>
      <c r="B1189" s="1">
        <v>2</v>
      </c>
      <c r="C1189" s="1" t="s">
        <v>8</v>
      </c>
      <c r="D1189" s="1" t="s">
        <v>9</v>
      </c>
      <c r="E1189" s="1">
        <v>1.8945105075836099</v>
      </c>
      <c r="F1189" s="1">
        <f>Tabla1[[#This Row],[tiempo]]/(IF(Tabla1[[#This Row],[tamanho]]=$I$3,$L$3,IF(Tabla1[[#This Row],[tamanho]]=$I$4,$L$4,IF(Tabla1[[#This Row],[tamanho]]=$I$5,$L$5,IF(Tabla1[[#This Row],[tamanho]]=$I$6,$L$6,0))))*IF(C1189="8_1",9,25))</f>
        <v>4.1292281199716874E-7</v>
      </c>
    </row>
    <row r="1190" spans="1:6" ht="12.75" x14ac:dyDescent="0.2">
      <c r="A1190" s="1">
        <v>49</v>
      </c>
      <c r="B1190" s="1">
        <v>3</v>
      </c>
      <c r="C1190" s="1" t="s">
        <v>5</v>
      </c>
      <c r="D1190" s="1" t="s">
        <v>6</v>
      </c>
      <c r="E1190" s="1">
        <v>3.78715825080871</v>
      </c>
      <c r="F1190" s="1">
        <f>Tabla1[[#This Row],[tiempo]]/(IF(Tabla1[[#This Row],[tamanho]]=$I$3,$L$3,IF(Tabla1[[#This Row],[tamanho]]=$I$4,$L$4,IF(Tabla1[[#This Row],[tamanho]]=$I$5,$L$5,IF(Tabla1[[#This Row],[tamanho]]=$I$6,$L$6,0))))*IF(C1190="8_1",9,25))</f>
        <v>1.0182511952749714E-6</v>
      </c>
    </row>
    <row r="1191" spans="1:6" ht="12.75" x14ac:dyDescent="0.2">
      <c r="A1191" s="1">
        <v>49</v>
      </c>
      <c r="B1191" s="1">
        <v>3</v>
      </c>
      <c r="C1191" s="1" t="s">
        <v>7</v>
      </c>
      <c r="D1191" s="1" t="s">
        <v>6</v>
      </c>
      <c r="E1191" s="1">
        <v>4.2459864616393999</v>
      </c>
      <c r="F1191" s="1">
        <f>Tabla1[[#This Row],[tiempo]]/(IF(Tabla1[[#This Row],[tamanho]]=$I$3,$L$3,IF(Tabla1[[#This Row],[tamanho]]=$I$4,$L$4,IF(Tabla1[[#This Row],[tamanho]]=$I$5,$L$5,IF(Tabla1[[#This Row],[tamanho]]=$I$6,$L$6,0))))*IF(C1191="8_1",9,25))</f>
        <v>4.1098179194240815E-7</v>
      </c>
    </row>
    <row r="1192" spans="1:6" ht="12.75" x14ac:dyDescent="0.2">
      <c r="A1192" s="1">
        <v>49</v>
      </c>
      <c r="B1192" s="1">
        <v>3</v>
      </c>
      <c r="C1192" s="1" t="s">
        <v>8</v>
      </c>
      <c r="D1192" s="1" t="s">
        <v>6</v>
      </c>
      <c r="E1192" s="1">
        <v>4.2685420513152996</v>
      </c>
      <c r="F1192" s="1">
        <f>Tabla1[[#This Row],[tiempo]]/(IF(Tabla1[[#This Row],[tamanho]]=$I$3,$L$3,IF(Tabla1[[#This Row],[tamanho]]=$I$4,$L$4,IF(Tabla1[[#This Row],[tamanho]]=$I$5,$L$5,IF(Tabla1[[#This Row],[tamanho]]=$I$6,$L$6,0))))*IF(C1192="8_1",9,25))</f>
        <v>4.1316501526331809E-7</v>
      </c>
    </row>
    <row r="1193" spans="1:6" ht="12.75" x14ac:dyDescent="0.2">
      <c r="A1193" s="1">
        <v>49</v>
      </c>
      <c r="B1193" s="1">
        <v>3</v>
      </c>
      <c r="C1193" s="1" t="s">
        <v>5</v>
      </c>
      <c r="D1193" s="1" t="s">
        <v>9</v>
      </c>
      <c r="E1193" s="1">
        <v>3.7562088966369598</v>
      </c>
      <c r="F1193" s="1">
        <f>Tabla1[[#This Row],[tiempo]]/(IF(Tabla1[[#This Row],[tamanho]]=$I$3,$L$3,IF(Tabla1[[#This Row],[tamanho]]=$I$4,$L$4,IF(Tabla1[[#This Row],[tamanho]]=$I$5,$L$5,IF(Tabla1[[#This Row],[tamanho]]=$I$6,$L$6,0))))*IF(C1193="8_1",9,25))</f>
        <v>1.0099298591196515E-6</v>
      </c>
    </row>
    <row r="1194" spans="1:6" ht="12.75" x14ac:dyDescent="0.2">
      <c r="A1194" s="1">
        <v>49</v>
      </c>
      <c r="B1194" s="1">
        <v>3</v>
      </c>
      <c r="C1194" s="1" t="s">
        <v>7</v>
      </c>
      <c r="D1194" s="1" t="s">
        <v>9</v>
      </c>
      <c r="E1194" s="1">
        <v>4.23333287239074</v>
      </c>
      <c r="F1194" s="1">
        <f>Tabla1[[#This Row],[tiempo]]/(IF(Tabla1[[#This Row],[tamanho]]=$I$3,$L$3,IF(Tabla1[[#This Row],[tamanho]]=$I$4,$L$4,IF(Tabla1[[#This Row],[tamanho]]=$I$5,$L$5,IF(Tabla1[[#This Row],[tamanho]]=$I$6,$L$6,0))))*IF(C1194="8_1",9,25))</f>
        <v>4.0975701300566385E-7</v>
      </c>
    </row>
    <row r="1195" spans="1:6" ht="12.75" x14ac:dyDescent="0.2">
      <c r="A1195" s="1">
        <v>49</v>
      </c>
      <c r="B1195" s="1">
        <v>3</v>
      </c>
      <c r="C1195" s="1" t="s">
        <v>8</v>
      </c>
      <c r="D1195" s="1" t="s">
        <v>9</v>
      </c>
      <c r="E1195" s="1">
        <v>4.2910137176513601</v>
      </c>
      <c r="F1195" s="1">
        <f>Tabla1[[#This Row],[tiempo]]/(IF(Tabla1[[#This Row],[tamanho]]=$I$3,$L$3,IF(Tabla1[[#This Row],[tamanho]]=$I$4,$L$4,IF(Tabla1[[#This Row],[tamanho]]=$I$5,$L$5,IF(Tabla1[[#This Row],[tamanho]]=$I$6,$L$6,0))))*IF(C1195="8_1",9,25))</f>
        <v>4.1534011539191342E-7</v>
      </c>
    </row>
    <row r="1196" spans="1:6" ht="12.75" x14ac:dyDescent="0.2">
      <c r="A1196" s="1">
        <v>49</v>
      </c>
      <c r="B1196" s="1">
        <v>4</v>
      </c>
      <c r="C1196" s="1" t="s">
        <v>5</v>
      </c>
      <c r="D1196" s="1" t="s">
        <v>6</v>
      </c>
      <c r="E1196" s="1">
        <v>6.8080089092254603</v>
      </c>
      <c r="F1196" s="1">
        <f>Tabla1[[#This Row],[tiempo]]/(IF(Tabla1[[#This Row],[tamanho]]=$I$3,$L$3,IF(Tabla1[[#This Row],[tamanho]]=$I$4,$L$4,IF(Tabla1[[#This Row],[tamanho]]=$I$5,$L$5,IF(Tabla1[[#This Row],[tamanho]]=$I$6,$L$6,0))))*IF(C1196="8_1",9,25))</f>
        <v>1.0280542949109809E-6</v>
      </c>
    </row>
    <row r="1197" spans="1:6" ht="12.75" x14ac:dyDescent="0.2">
      <c r="A1197" s="1">
        <v>49</v>
      </c>
      <c r="B1197" s="1">
        <v>4</v>
      </c>
      <c r="C1197" s="1" t="s">
        <v>7</v>
      </c>
      <c r="D1197" s="1" t="s">
        <v>6</v>
      </c>
      <c r="E1197" s="1">
        <v>7.6163356304168701</v>
      </c>
      <c r="F1197" s="1">
        <f>Tabla1[[#This Row],[tiempo]]/(IF(Tabla1[[#This Row],[tamanho]]=$I$3,$L$3,IF(Tabla1[[#This Row],[tamanho]]=$I$4,$L$4,IF(Tabla1[[#This Row],[tamanho]]=$I$5,$L$5,IF(Tabla1[[#This Row],[tamanho]]=$I$6,$L$6,0))))*IF(C1197="8_1",9,25))</f>
        <v>4.1404210803255057E-7</v>
      </c>
    </row>
    <row r="1198" spans="1:6" ht="12.75" x14ac:dyDescent="0.2">
      <c r="A1198" s="1">
        <v>49</v>
      </c>
      <c r="B1198" s="1">
        <v>4</v>
      </c>
      <c r="C1198" s="1" t="s">
        <v>8</v>
      </c>
      <c r="D1198" s="1" t="s">
        <v>6</v>
      </c>
      <c r="E1198" s="1">
        <v>7.6830363273620597</v>
      </c>
      <c r="F1198" s="1">
        <f>Tabla1[[#This Row],[tiempo]]/(IF(Tabla1[[#This Row],[tamanho]]=$I$3,$L$3,IF(Tabla1[[#This Row],[tamanho]]=$I$4,$L$4,IF(Tabla1[[#This Row],[tamanho]]=$I$5,$L$5,IF(Tabla1[[#This Row],[tamanho]]=$I$6,$L$6,0))))*IF(C1198="8_1",9,25))</f>
        <v>4.1766811645845748E-7</v>
      </c>
    </row>
    <row r="1199" spans="1:6" ht="12.75" x14ac:dyDescent="0.2">
      <c r="A1199" s="1">
        <v>49</v>
      </c>
      <c r="B1199" s="1">
        <v>4</v>
      </c>
      <c r="C1199" s="1" t="s">
        <v>5</v>
      </c>
      <c r="D1199" s="1" t="s">
        <v>9</v>
      </c>
      <c r="E1199" s="1">
        <v>6.8432462215423504</v>
      </c>
      <c r="F1199" s="1">
        <f>Tabla1[[#This Row],[tiempo]]/(IF(Tabla1[[#This Row],[tamanho]]=$I$3,$L$3,IF(Tabla1[[#This Row],[tamanho]]=$I$4,$L$4,IF(Tabla1[[#This Row],[tamanho]]=$I$5,$L$5,IF(Tabla1[[#This Row],[tamanho]]=$I$6,$L$6,0))))*IF(C1199="8_1",9,25))</f>
        <v>1.0333753617238356E-6</v>
      </c>
    </row>
    <row r="1200" spans="1:6" ht="12.75" x14ac:dyDescent="0.2">
      <c r="A1200" s="1">
        <v>49</v>
      </c>
      <c r="B1200" s="1">
        <v>4</v>
      </c>
      <c r="C1200" s="1" t="s">
        <v>7</v>
      </c>
      <c r="D1200" s="1" t="s">
        <v>9</v>
      </c>
      <c r="E1200" s="1">
        <v>7.6248927116393999</v>
      </c>
      <c r="F1200" s="1">
        <f>Tabla1[[#This Row],[tiempo]]/(IF(Tabla1[[#This Row],[tamanho]]=$I$3,$L$3,IF(Tabla1[[#This Row],[tamanho]]=$I$4,$L$4,IF(Tabla1[[#This Row],[tamanho]]=$I$5,$L$5,IF(Tabla1[[#This Row],[tamanho]]=$I$6,$L$6,0))))*IF(C1200="8_1",9,25))</f>
        <v>4.1450729130701561E-7</v>
      </c>
    </row>
    <row r="1201" spans="1:6" ht="12.75" x14ac:dyDescent="0.2">
      <c r="A1201" s="1">
        <v>49</v>
      </c>
      <c r="B1201" s="1">
        <v>4</v>
      </c>
      <c r="C1201" s="1" t="s">
        <v>8</v>
      </c>
      <c r="D1201" s="1" t="s">
        <v>9</v>
      </c>
      <c r="E1201" s="1">
        <v>7.6932723522186199</v>
      </c>
      <c r="F1201" s="1">
        <f>Tabla1[[#This Row],[tiempo]]/(IF(Tabla1[[#This Row],[tamanho]]=$I$3,$L$3,IF(Tabla1[[#This Row],[tamanho]]=$I$4,$L$4,IF(Tabla1[[#This Row],[tamanho]]=$I$5,$L$5,IF(Tabla1[[#This Row],[tamanho]]=$I$6,$L$6,0))))*IF(C1201="8_1",9,25))</f>
        <v>4.1822457109952638E-7</v>
      </c>
    </row>
    <row r="1202" spans="1:6" ht="12.75" x14ac:dyDescent="0.2">
      <c r="A1202" s="1">
        <v>50</v>
      </c>
      <c r="B1202" s="1">
        <v>1</v>
      </c>
      <c r="C1202" s="1" t="s">
        <v>5</v>
      </c>
      <c r="D1202" s="1" t="s">
        <v>6</v>
      </c>
      <c r="E1202" s="1">
        <v>0.398788452148437</v>
      </c>
      <c r="F1202" s="1">
        <f>Tabla1[[#This Row],[tiempo]]/(IF(Tabla1[[#This Row],[tamanho]]=$I$3,$L$3,IF(Tabla1[[#This Row],[tamanho]]=$I$4,$L$4,IF(Tabla1[[#This Row],[tamanho]]=$I$5,$L$5,IF(Tabla1[[#This Row],[tamanho]]=$I$6,$L$6,0))))*IF(C1202="8_1",9,25))</f>
        <v>1.6434786549643189E-6</v>
      </c>
    </row>
    <row r="1203" spans="1:6" ht="12.75" x14ac:dyDescent="0.2">
      <c r="A1203" s="1">
        <v>50</v>
      </c>
      <c r="B1203" s="1">
        <v>1</v>
      </c>
      <c r="C1203" s="1" t="s">
        <v>7</v>
      </c>
      <c r="D1203" s="1" t="s">
        <v>6</v>
      </c>
      <c r="E1203" s="1">
        <v>0.450479745864868</v>
      </c>
      <c r="F1203" s="1">
        <f>Tabla1[[#This Row],[tiempo]]/(IF(Tabla1[[#This Row],[tamanho]]=$I$3,$L$3,IF(Tabla1[[#This Row],[tamanho]]=$I$4,$L$4,IF(Tabla1[[#This Row],[tamanho]]=$I$5,$L$5,IF(Tabla1[[#This Row],[tamanho]]=$I$6,$L$6,0))))*IF(C1203="8_1",9,25))</f>
        <v>6.6834278530450359E-7</v>
      </c>
    </row>
    <row r="1204" spans="1:6" ht="12.75" x14ac:dyDescent="0.2">
      <c r="A1204" s="1">
        <v>50</v>
      </c>
      <c r="B1204" s="1">
        <v>1</v>
      </c>
      <c r="C1204" s="1" t="s">
        <v>8</v>
      </c>
      <c r="D1204" s="1" t="s">
        <v>6</v>
      </c>
      <c r="E1204" s="1">
        <v>0.45486402511596602</v>
      </c>
      <c r="F1204" s="1">
        <f>Tabla1[[#This Row],[tiempo]]/(IF(Tabla1[[#This Row],[tamanho]]=$I$3,$L$3,IF(Tabla1[[#This Row],[tamanho]]=$I$4,$L$4,IF(Tabla1[[#This Row],[tamanho]]=$I$5,$L$5,IF(Tabla1[[#This Row],[tamanho]]=$I$6,$L$6,0))))*IF(C1204="8_1",9,25))</f>
        <v>6.7484740939277628E-7</v>
      </c>
    </row>
    <row r="1205" spans="1:6" ht="12.75" x14ac:dyDescent="0.2">
      <c r="A1205" s="1">
        <v>50</v>
      </c>
      <c r="B1205" s="1">
        <v>1</v>
      </c>
      <c r="C1205" s="1" t="s">
        <v>5</v>
      </c>
      <c r="D1205" s="1" t="s">
        <v>9</v>
      </c>
      <c r="E1205" s="1">
        <v>0.400633335113525</v>
      </c>
      <c r="F1205" s="1">
        <f>Tabla1[[#This Row],[tiempo]]/(IF(Tabla1[[#This Row],[tamanho]]=$I$3,$L$3,IF(Tabla1[[#This Row],[tamanho]]=$I$4,$L$4,IF(Tabla1[[#This Row],[tamanho]]=$I$5,$L$5,IF(Tabla1[[#This Row],[tamanho]]=$I$6,$L$6,0))))*IF(C1205="8_1",9,25))</f>
        <v>1.6510817481775117E-6</v>
      </c>
    </row>
    <row r="1206" spans="1:6" ht="12.75" x14ac:dyDescent="0.2">
      <c r="A1206" s="1">
        <v>50</v>
      </c>
      <c r="B1206" s="1">
        <v>1</v>
      </c>
      <c r="C1206" s="1" t="s">
        <v>7</v>
      </c>
      <c r="D1206" s="1" t="s">
        <v>9</v>
      </c>
      <c r="E1206" s="1">
        <v>0.45442581176757801</v>
      </c>
      <c r="F1206" s="1">
        <f>Tabla1[[#This Row],[tiempo]]/(IF(Tabla1[[#This Row],[tamanho]]=$I$3,$L$3,IF(Tabla1[[#This Row],[tamanho]]=$I$4,$L$4,IF(Tabla1[[#This Row],[tamanho]]=$I$5,$L$5,IF(Tabla1[[#This Row],[tamanho]]=$I$6,$L$6,0))))*IF(C1206="8_1",9,25))</f>
        <v>6.7419726533522946E-7</v>
      </c>
    </row>
    <row r="1207" spans="1:6" ht="12.75" x14ac:dyDescent="0.2">
      <c r="A1207" s="1">
        <v>50</v>
      </c>
      <c r="B1207" s="1">
        <v>1</v>
      </c>
      <c r="C1207" s="1" t="s">
        <v>8</v>
      </c>
      <c r="D1207" s="1" t="s">
        <v>9</v>
      </c>
      <c r="E1207" s="1">
        <v>0.46118187904357899</v>
      </c>
      <c r="F1207" s="1">
        <f>Tabla1[[#This Row],[tiempo]]/(IF(Tabla1[[#This Row],[tamanho]]=$I$3,$L$3,IF(Tabla1[[#This Row],[tamanho]]=$I$4,$L$4,IF(Tabla1[[#This Row],[tamanho]]=$I$5,$L$5,IF(Tabla1[[#This Row],[tamanho]]=$I$6,$L$6,0))))*IF(C1207="8_1",9,25))</f>
        <v>6.8422073223334294E-7</v>
      </c>
    </row>
    <row r="1208" spans="1:6" ht="12.75" x14ac:dyDescent="0.2">
      <c r="A1208" s="1">
        <v>50</v>
      </c>
      <c r="B1208" s="1">
        <v>2</v>
      </c>
      <c r="C1208" s="1" t="s">
        <v>5</v>
      </c>
      <c r="D1208" s="1" t="s">
        <v>6</v>
      </c>
      <c r="E1208" s="1">
        <v>1.6967625617980899</v>
      </c>
      <c r="F1208" s="1">
        <f>Tabla1[[#This Row],[tiempo]]/(IF(Tabla1[[#This Row],[tamanho]]=$I$3,$L$3,IF(Tabla1[[#This Row],[tamanho]]=$I$4,$L$4,IF(Tabla1[[#This Row],[tamanho]]=$I$5,$L$5,IF(Tabla1[[#This Row],[tamanho]]=$I$6,$L$6,0))))*IF(C1208="8_1",9,25))</f>
        <v>1.0272837781471492E-6</v>
      </c>
    </row>
    <row r="1209" spans="1:6" ht="12.75" x14ac:dyDescent="0.2">
      <c r="A1209" s="1">
        <v>50</v>
      </c>
      <c r="B1209" s="1">
        <v>2</v>
      </c>
      <c r="C1209" s="1" t="s">
        <v>7</v>
      </c>
      <c r="D1209" s="1" t="s">
        <v>6</v>
      </c>
      <c r="E1209" s="1">
        <v>1.90952444076538</v>
      </c>
      <c r="F1209" s="1">
        <f>Tabla1[[#This Row],[tiempo]]/(IF(Tabla1[[#This Row],[tamanho]]=$I$3,$L$3,IF(Tabla1[[#This Row],[tamanho]]=$I$4,$L$4,IF(Tabla1[[#This Row],[tamanho]]=$I$5,$L$5,IF(Tabla1[[#This Row],[tamanho]]=$I$6,$L$6,0))))*IF(C1209="8_1",9,25))</f>
        <v>4.161952116401042E-7</v>
      </c>
    </row>
    <row r="1210" spans="1:6" ht="12.75" x14ac:dyDescent="0.2">
      <c r="A1210" s="1">
        <v>50</v>
      </c>
      <c r="B1210" s="1">
        <v>2</v>
      </c>
      <c r="C1210" s="1" t="s">
        <v>8</v>
      </c>
      <c r="D1210" s="1" t="s">
        <v>6</v>
      </c>
      <c r="E1210" s="1">
        <v>1.9013023376464799</v>
      </c>
      <c r="F1210" s="1">
        <f>Tabla1[[#This Row],[tiempo]]/(IF(Tabla1[[#This Row],[tamanho]]=$I$3,$L$3,IF(Tabla1[[#This Row],[tamanho]]=$I$4,$L$4,IF(Tabla1[[#This Row],[tamanho]]=$I$5,$L$5,IF(Tabla1[[#This Row],[tamanho]]=$I$6,$L$6,0))))*IF(C1210="8_1",9,25))</f>
        <v>4.1440314243447212E-7</v>
      </c>
    </row>
    <row r="1211" spans="1:6" ht="12.75" x14ac:dyDescent="0.2">
      <c r="A1211" s="1">
        <v>50</v>
      </c>
      <c r="B1211" s="1">
        <v>2</v>
      </c>
      <c r="C1211" s="1" t="s">
        <v>5</v>
      </c>
      <c r="D1211" s="1" t="s">
        <v>9</v>
      </c>
      <c r="E1211" s="1">
        <v>1.6772880554199201</v>
      </c>
      <c r="F1211" s="1">
        <f>Tabla1[[#This Row],[tiempo]]/(IF(Tabla1[[#This Row],[tamanho]]=$I$3,$L$3,IF(Tabla1[[#This Row],[tamanho]]=$I$4,$L$4,IF(Tabla1[[#This Row],[tamanho]]=$I$5,$L$5,IF(Tabla1[[#This Row],[tamanho]]=$I$6,$L$6,0))))*IF(C1211="8_1",9,25))</f>
        <v>1.0154931806056071E-6</v>
      </c>
    </row>
    <row r="1212" spans="1:6" ht="12.75" x14ac:dyDescent="0.2">
      <c r="A1212" s="1">
        <v>50</v>
      </c>
      <c r="B1212" s="1">
        <v>2</v>
      </c>
      <c r="C1212" s="1" t="s">
        <v>7</v>
      </c>
      <c r="D1212" s="1" t="s">
        <v>9</v>
      </c>
      <c r="E1212" s="1">
        <v>1.8754978179931601</v>
      </c>
      <c r="F1212" s="1">
        <f>Tabla1[[#This Row],[tiempo]]/(IF(Tabla1[[#This Row],[tamanho]]=$I$3,$L$3,IF(Tabla1[[#This Row],[tamanho]]=$I$4,$L$4,IF(Tabla1[[#This Row],[tamanho]]=$I$5,$L$5,IF(Tabla1[[#This Row],[tamanho]]=$I$6,$L$6,0))))*IF(C1212="8_1",9,25))</f>
        <v>4.0877885332399604E-7</v>
      </c>
    </row>
    <row r="1213" spans="1:6" ht="12.75" x14ac:dyDescent="0.2">
      <c r="A1213" s="1">
        <v>50</v>
      </c>
      <c r="B1213" s="1">
        <v>2</v>
      </c>
      <c r="C1213" s="1" t="s">
        <v>8</v>
      </c>
      <c r="D1213" s="1" t="s">
        <v>9</v>
      </c>
      <c r="E1213" s="1">
        <v>1.90585088729858</v>
      </c>
      <c r="F1213" s="1">
        <f>Tabla1[[#This Row],[tiempo]]/(IF(Tabla1[[#This Row],[tamanho]]=$I$3,$L$3,IF(Tabla1[[#This Row],[tamanho]]=$I$4,$L$4,IF(Tabla1[[#This Row],[tamanho]]=$I$5,$L$5,IF(Tabla1[[#This Row],[tamanho]]=$I$6,$L$6,0))))*IF(C1213="8_1",9,25))</f>
        <v>4.1539453303660161E-7</v>
      </c>
    </row>
    <row r="1214" spans="1:6" ht="12.75" x14ac:dyDescent="0.2">
      <c r="A1214" s="1">
        <v>50</v>
      </c>
      <c r="B1214" s="1">
        <v>3</v>
      </c>
      <c r="C1214" s="1" t="s">
        <v>5</v>
      </c>
      <c r="D1214" s="1" t="s">
        <v>6</v>
      </c>
      <c r="E1214" s="1">
        <v>3.8308224678039502</v>
      </c>
      <c r="F1214" s="1">
        <f>Tabla1[[#This Row],[tiempo]]/(IF(Tabla1[[#This Row],[tamanho]]=$I$3,$L$3,IF(Tabla1[[#This Row],[tamanho]]=$I$4,$L$4,IF(Tabla1[[#This Row],[tamanho]]=$I$5,$L$5,IF(Tabla1[[#This Row],[tamanho]]=$I$6,$L$6,0))))*IF(C1214="8_1",9,25))</f>
        <v>1.0299911697364703E-6</v>
      </c>
    </row>
    <row r="1215" spans="1:6" ht="12.75" x14ac:dyDescent="0.2">
      <c r="A1215" s="1">
        <v>50</v>
      </c>
      <c r="B1215" s="1">
        <v>3</v>
      </c>
      <c r="C1215" s="1" t="s">
        <v>7</v>
      </c>
      <c r="D1215" s="1" t="s">
        <v>6</v>
      </c>
      <c r="E1215" s="1">
        <v>4.3107588291168204</v>
      </c>
      <c r="F1215" s="1">
        <f>Tabla1[[#This Row],[tiempo]]/(IF(Tabla1[[#This Row],[tamanho]]=$I$3,$L$3,IF(Tabla1[[#This Row],[tamanho]]=$I$4,$L$4,IF(Tabla1[[#This Row],[tamanho]]=$I$5,$L$5,IF(Tabla1[[#This Row],[tamanho]]=$I$6,$L$6,0))))*IF(C1215="8_1",9,25))</f>
        <v>4.1725130407927543E-7</v>
      </c>
    </row>
    <row r="1216" spans="1:6" ht="12.75" x14ac:dyDescent="0.2">
      <c r="A1216" s="1">
        <v>50</v>
      </c>
      <c r="B1216" s="1">
        <v>3</v>
      </c>
      <c r="C1216" s="1" t="s">
        <v>8</v>
      </c>
      <c r="D1216" s="1" t="s">
        <v>6</v>
      </c>
      <c r="E1216" s="1">
        <v>4.3669171333312899</v>
      </c>
      <c r="F1216" s="1">
        <f>Tabla1[[#This Row],[tiempo]]/(IF(Tabla1[[#This Row],[tamanho]]=$I$3,$L$3,IF(Tabla1[[#This Row],[tamanho]]=$I$4,$L$4,IF(Tabla1[[#This Row],[tamanho]]=$I$5,$L$5,IF(Tabla1[[#This Row],[tamanho]]=$I$6,$L$6,0))))*IF(C1216="8_1",9,25))</f>
        <v>4.2268703514130958E-7</v>
      </c>
    </row>
    <row r="1217" spans="1:6" ht="12.75" x14ac:dyDescent="0.2">
      <c r="A1217" s="1">
        <v>50</v>
      </c>
      <c r="B1217" s="1">
        <v>3</v>
      </c>
      <c r="C1217" s="1" t="s">
        <v>5</v>
      </c>
      <c r="D1217" s="1" t="s">
        <v>9</v>
      </c>
      <c r="E1217" s="1">
        <v>3.9356410503387398</v>
      </c>
      <c r="F1217" s="1">
        <f>Tabla1[[#This Row],[tiempo]]/(IF(Tabla1[[#This Row],[tamanho]]=$I$3,$L$3,IF(Tabla1[[#This Row],[tamanho]]=$I$4,$L$4,IF(Tabla1[[#This Row],[tamanho]]=$I$5,$L$5,IF(Tabla1[[#This Row],[tamanho]]=$I$6,$L$6,0))))*IF(C1217="8_1",9,25))</f>
        <v>1.0581736854605721E-6</v>
      </c>
    </row>
    <row r="1218" spans="1:6" ht="12.75" x14ac:dyDescent="0.2">
      <c r="A1218" s="1">
        <v>50</v>
      </c>
      <c r="B1218" s="1">
        <v>3</v>
      </c>
      <c r="C1218" s="1" t="s">
        <v>7</v>
      </c>
      <c r="D1218" s="1" t="s">
        <v>9</v>
      </c>
      <c r="E1218" s="1">
        <v>4.3986339569091797</v>
      </c>
      <c r="F1218" s="1">
        <f>Tabla1[[#This Row],[tiempo]]/(IF(Tabla1[[#This Row],[tamanho]]=$I$3,$L$3,IF(Tabla1[[#This Row],[tamanho]]=$I$4,$L$4,IF(Tabla1[[#This Row],[tamanho]]=$I$5,$L$5,IF(Tabla1[[#This Row],[tamanho]]=$I$6,$L$6,0))))*IF(C1218="8_1",9,25))</f>
        <v>4.2575700182785649E-7</v>
      </c>
    </row>
    <row r="1219" spans="1:6" ht="12.75" x14ac:dyDescent="0.2">
      <c r="A1219" s="1">
        <v>50</v>
      </c>
      <c r="B1219" s="1">
        <v>3</v>
      </c>
      <c r="C1219" s="1" t="s">
        <v>8</v>
      </c>
      <c r="D1219" s="1" t="s">
        <v>9</v>
      </c>
      <c r="E1219" s="1">
        <v>4.3335006237030003</v>
      </c>
      <c r="F1219" s="1">
        <f>Tabla1[[#This Row],[tiempo]]/(IF(Tabla1[[#This Row],[tamanho]]=$I$3,$L$3,IF(Tabla1[[#This Row],[tamanho]]=$I$4,$L$4,IF(Tabla1[[#This Row],[tamanho]]=$I$5,$L$5,IF(Tabla1[[#This Row],[tamanho]]=$I$6,$L$6,0))))*IF(C1219="8_1",9,25))</f>
        <v>4.1945255073313444E-7</v>
      </c>
    </row>
    <row r="1220" spans="1:6" ht="12.75" x14ac:dyDescent="0.2">
      <c r="A1220" s="1">
        <v>50</v>
      </c>
      <c r="B1220" s="1">
        <v>4</v>
      </c>
      <c r="C1220" s="1" t="s">
        <v>5</v>
      </c>
      <c r="D1220" s="1" t="s">
        <v>6</v>
      </c>
      <c r="E1220" s="1">
        <v>6.8405282497405997</v>
      </c>
      <c r="F1220" s="1">
        <f>Tabla1[[#This Row],[tiempo]]/(IF(Tabla1[[#This Row],[tamanho]]=$I$3,$L$3,IF(Tabla1[[#This Row],[tamanho]]=$I$4,$L$4,IF(Tabla1[[#This Row],[tamanho]]=$I$5,$L$5,IF(Tabla1[[#This Row],[tamanho]]=$I$6,$L$6,0))))*IF(C1220="8_1",9,25))</f>
        <v>1.0329649300364666E-6</v>
      </c>
    </row>
    <row r="1221" spans="1:6" ht="12.75" x14ac:dyDescent="0.2">
      <c r="A1221" s="1">
        <v>50</v>
      </c>
      <c r="B1221" s="1">
        <v>4</v>
      </c>
      <c r="C1221" s="1" t="s">
        <v>7</v>
      </c>
      <c r="D1221" s="1" t="s">
        <v>6</v>
      </c>
      <c r="E1221" s="1">
        <v>7.6982429027557302</v>
      </c>
      <c r="F1221" s="1">
        <f>Tabla1[[#This Row],[tiempo]]/(IF(Tabla1[[#This Row],[tamanho]]=$I$3,$L$3,IF(Tabla1[[#This Row],[tamanho]]=$I$4,$L$4,IF(Tabla1[[#This Row],[tamanho]]=$I$5,$L$5,IF(Tabla1[[#This Row],[tamanho]]=$I$6,$L$6,0))))*IF(C1221="8_1",9,25))</f>
        <v>4.1849478204115666E-7</v>
      </c>
    </row>
    <row r="1222" spans="1:6" ht="12.75" x14ac:dyDescent="0.2">
      <c r="A1222" s="1">
        <v>50</v>
      </c>
      <c r="B1222" s="1">
        <v>4</v>
      </c>
      <c r="C1222" s="1" t="s">
        <v>8</v>
      </c>
      <c r="D1222" s="1" t="s">
        <v>6</v>
      </c>
      <c r="E1222" s="1">
        <v>7.73880743980407</v>
      </c>
      <c r="F1222" s="1">
        <f>Tabla1[[#This Row],[tiempo]]/(IF(Tabla1[[#This Row],[tamanho]]=$I$3,$L$3,IF(Tabla1[[#This Row],[tamanho]]=$I$4,$L$4,IF(Tabla1[[#This Row],[tamanho]]=$I$5,$L$5,IF(Tabla1[[#This Row],[tamanho]]=$I$6,$L$6,0))))*IF(C1222="8_1",9,25))</f>
        <v>4.2069996669239293E-7</v>
      </c>
    </row>
    <row r="1223" spans="1:6" ht="12.75" x14ac:dyDescent="0.2">
      <c r="A1223" s="1">
        <v>50</v>
      </c>
      <c r="B1223" s="1">
        <v>4</v>
      </c>
      <c r="C1223" s="1" t="s">
        <v>5</v>
      </c>
      <c r="D1223" s="1" t="s">
        <v>9</v>
      </c>
      <c r="E1223" s="1">
        <v>6.8816068172454798</v>
      </c>
      <c r="F1223" s="1">
        <f>Tabla1[[#This Row],[tiempo]]/(IF(Tabla1[[#This Row],[tamanho]]=$I$3,$L$3,IF(Tabla1[[#This Row],[tamanho]]=$I$4,$L$4,IF(Tabla1[[#This Row],[tamanho]]=$I$5,$L$5,IF(Tabla1[[#This Row],[tamanho]]=$I$6,$L$6,0))))*IF(C1223="8_1",9,25))</f>
        <v>1.0391680649493712E-6</v>
      </c>
    </row>
    <row r="1224" spans="1:6" ht="12.75" x14ac:dyDescent="0.2">
      <c r="A1224" s="1">
        <v>50</v>
      </c>
      <c r="B1224" s="1">
        <v>4</v>
      </c>
      <c r="C1224" s="1" t="s">
        <v>7</v>
      </c>
      <c r="D1224" s="1" t="s">
        <v>9</v>
      </c>
      <c r="E1224" s="1">
        <v>7.7322080135345397</v>
      </c>
      <c r="F1224" s="1">
        <f>Tabla1[[#This Row],[tiempo]]/(IF(Tabla1[[#This Row],[tamanho]]=$I$3,$L$3,IF(Tabla1[[#This Row],[tamanho]]=$I$4,$L$4,IF(Tabla1[[#This Row],[tamanho]]=$I$5,$L$5,IF(Tabla1[[#This Row],[tamanho]]=$I$6,$L$6,0))))*IF(C1224="8_1",9,25))</f>
        <v>4.2034120619429602E-7</v>
      </c>
    </row>
    <row r="1225" spans="1:6" ht="12.75" x14ac:dyDescent="0.2">
      <c r="A1225" s="1">
        <v>50</v>
      </c>
      <c r="B1225" s="1">
        <v>4</v>
      </c>
      <c r="C1225" s="1" t="s">
        <v>8</v>
      </c>
      <c r="D1225" s="1" t="s">
        <v>9</v>
      </c>
      <c r="E1225" s="1">
        <v>7.7470636367797798</v>
      </c>
      <c r="F1225" s="1">
        <f>Tabla1[[#This Row],[tiempo]]/(IF(Tabla1[[#This Row],[tamanho]]=$I$3,$L$3,IF(Tabla1[[#This Row],[tamanho]]=$I$4,$L$4,IF(Tabla1[[#This Row],[tamanho]]=$I$5,$L$5,IF(Tabla1[[#This Row],[tamanho]]=$I$6,$L$6,0))))*IF(C1225="8_1",9,25))</f>
        <v>4.2114879318403321E-7</v>
      </c>
    </row>
    <row r="1226" spans="1:6" ht="12.75" x14ac:dyDescent="0.2">
      <c r="A1226" s="1">
        <v>51</v>
      </c>
      <c r="B1226" s="1">
        <v>1</v>
      </c>
      <c r="C1226" s="1" t="s">
        <v>5</v>
      </c>
      <c r="D1226" s="1" t="s">
        <v>6</v>
      </c>
      <c r="E1226" s="1">
        <v>0.40626263618469199</v>
      </c>
      <c r="F1226" s="1">
        <f>Tabla1[[#This Row],[tiempo]]/(IF(Tabla1[[#This Row],[tamanho]]=$I$3,$L$3,IF(Tabla1[[#This Row],[tamanho]]=$I$4,$L$4,IF(Tabla1[[#This Row],[tamanho]]=$I$5,$L$5,IF(Tabla1[[#This Row],[tamanho]]=$I$6,$L$6,0))))*IF(C1226="8_1",9,25))</f>
        <v>1.6742811063910917E-6</v>
      </c>
    </row>
    <row r="1227" spans="1:6" ht="12.75" x14ac:dyDescent="0.2">
      <c r="A1227" s="1">
        <v>51</v>
      </c>
      <c r="B1227" s="1">
        <v>1</v>
      </c>
      <c r="C1227" s="1" t="s">
        <v>7</v>
      </c>
      <c r="D1227" s="1" t="s">
        <v>6</v>
      </c>
      <c r="E1227" s="1">
        <v>0.45251703262329102</v>
      </c>
      <c r="F1227" s="1">
        <f>Tabla1[[#This Row],[tiempo]]/(IF(Tabla1[[#This Row],[tamanho]]=$I$3,$L$3,IF(Tabla1[[#This Row],[tamanho]]=$I$4,$L$4,IF(Tabla1[[#This Row],[tamanho]]=$I$5,$L$5,IF(Tabla1[[#This Row],[tamanho]]=$I$6,$L$6,0))))*IF(C1227="8_1",9,25))</f>
        <v>6.7136535384190653E-7</v>
      </c>
    </row>
    <row r="1228" spans="1:6" ht="12.75" x14ac:dyDescent="0.2">
      <c r="A1228" s="1">
        <v>51</v>
      </c>
      <c r="B1228" s="1">
        <v>1</v>
      </c>
      <c r="C1228" s="1" t="s">
        <v>8</v>
      </c>
      <c r="D1228" s="1" t="s">
        <v>6</v>
      </c>
      <c r="E1228" s="1">
        <v>0.45827579498290999</v>
      </c>
      <c r="F1228" s="1">
        <f>Tabla1[[#This Row],[tiempo]]/(IF(Tabla1[[#This Row],[tamanho]]=$I$3,$L$3,IF(Tabla1[[#This Row],[tamanho]]=$I$4,$L$4,IF(Tabla1[[#This Row],[tamanho]]=$I$5,$L$5,IF(Tabla1[[#This Row],[tamanho]]=$I$6,$L$6,0))))*IF(C1228="8_1",9,25))</f>
        <v>6.7990919473745033E-7</v>
      </c>
    </row>
    <row r="1229" spans="1:6" ht="12.75" x14ac:dyDescent="0.2">
      <c r="A1229" s="1">
        <v>51</v>
      </c>
      <c r="B1229" s="1">
        <v>1</v>
      </c>
      <c r="C1229" s="1" t="s">
        <v>5</v>
      </c>
      <c r="D1229" s="1" t="s">
        <v>9</v>
      </c>
      <c r="E1229" s="1">
        <v>0.40608549118041898</v>
      </c>
      <c r="F1229" s="1">
        <f>Tabla1[[#This Row],[tiempo]]/(IF(Tabla1[[#This Row],[tamanho]]=$I$3,$L$3,IF(Tabla1[[#This Row],[tamanho]]=$I$4,$L$4,IF(Tabla1[[#This Row],[tamanho]]=$I$5,$L$5,IF(Tabla1[[#This Row],[tamanho]]=$I$6,$L$6,0))))*IF(C1229="8_1",9,25))</f>
        <v>1.6735510600926399E-6</v>
      </c>
    </row>
    <row r="1230" spans="1:6" ht="12.75" x14ac:dyDescent="0.2">
      <c r="A1230" s="1">
        <v>51</v>
      </c>
      <c r="B1230" s="1">
        <v>1</v>
      </c>
      <c r="C1230" s="1" t="s">
        <v>7</v>
      </c>
      <c r="D1230" s="1" t="s">
        <v>9</v>
      </c>
      <c r="E1230" s="1">
        <v>0.454571723937988</v>
      </c>
      <c r="F1230" s="1">
        <f>Tabla1[[#This Row],[tiempo]]/(IF(Tabla1[[#This Row],[tamanho]]=$I$3,$L$3,IF(Tabla1[[#This Row],[tamanho]]=$I$4,$L$4,IF(Tabla1[[#This Row],[tamanho]]=$I$5,$L$5,IF(Tabla1[[#This Row],[tamanho]]=$I$6,$L$6,0))))*IF(C1230="8_1",9,25))</f>
        <v>6.7441374420531585E-7</v>
      </c>
    </row>
    <row r="1231" spans="1:6" ht="12.75" x14ac:dyDescent="0.2">
      <c r="A1231" s="1">
        <v>51</v>
      </c>
      <c r="B1231" s="1">
        <v>1</v>
      </c>
      <c r="C1231" s="1" t="s">
        <v>8</v>
      </c>
      <c r="D1231" s="1" t="s">
        <v>9</v>
      </c>
      <c r="E1231" s="1">
        <v>0.45980405807495101</v>
      </c>
      <c r="F1231" s="1">
        <f>Tabla1[[#This Row],[tiempo]]/(IF(Tabla1[[#This Row],[tamanho]]=$I$3,$L$3,IF(Tabla1[[#This Row],[tamanho]]=$I$4,$L$4,IF(Tabla1[[#This Row],[tamanho]]=$I$5,$L$5,IF(Tabla1[[#This Row],[tamanho]]=$I$6,$L$6,0))))*IF(C1231="8_1",9,25))</f>
        <v>6.8217656329505727E-7</v>
      </c>
    </row>
    <row r="1232" spans="1:6" ht="12.75" x14ac:dyDescent="0.2">
      <c r="A1232" s="1">
        <v>51</v>
      </c>
      <c r="B1232" s="1">
        <v>2</v>
      </c>
      <c r="C1232" s="1" t="s">
        <v>5</v>
      </c>
      <c r="D1232" s="1" t="s">
        <v>6</v>
      </c>
      <c r="E1232" s="1">
        <v>1.67712330818176</v>
      </c>
      <c r="F1232" s="1">
        <f>Tabla1[[#This Row],[tiempo]]/(IF(Tabla1[[#This Row],[tamanho]]=$I$3,$L$3,IF(Tabla1[[#This Row],[tamanho]]=$I$4,$L$4,IF(Tabla1[[#This Row],[tamanho]]=$I$5,$L$5,IF(Tabla1[[#This Row],[tamanho]]=$I$6,$L$6,0))))*IF(C1232="8_1",9,25))</f>
        <v>1.0153934364404147E-6</v>
      </c>
    </row>
    <row r="1233" spans="1:6" ht="12.75" x14ac:dyDescent="0.2">
      <c r="A1233" s="1">
        <v>51</v>
      </c>
      <c r="B1233" s="1">
        <v>2</v>
      </c>
      <c r="C1233" s="1" t="s">
        <v>7</v>
      </c>
      <c r="D1233" s="1" t="s">
        <v>6</v>
      </c>
      <c r="E1233" s="1">
        <v>1.8652527332305899</v>
      </c>
      <c r="F1233" s="1">
        <f>Tabla1[[#This Row],[tiempo]]/(IF(Tabla1[[#This Row],[tamanho]]=$I$3,$L$3,IF(Tabla1[[#This Row],[tamanho]]=$I$4,$L$4,IF(Tabla1[[#This Row],[tamanho]]=$I$5,$L$5,IF(Tabla1[[#This Row],[tamanho]]=$I$6,$L$6,0))))*IF(C1233="8_1",9,25))</f>
        <v>4.0654586005614369E-7</v>
      </c>
    </row>
    <row r="1234" spans="1:6" ht="12.75" x14ac:dyDescent="0.2">
      <c r="A1234" s="1">
        <v>51</v>
      </c>
      <c r="B1234" s="1">
        <v>2</v>
      </c>
      <c r="C1234" s="1" t="s">
        <v>8</v>
      </c>
      <c r="D1234" s="1" t="s">
        <v>6</v>
      </c>
      <c r="E1234" s="1">
        <v>1.88035893440246</v>
      </c>
      <c r="F1234" s="1">
        <f>Tabla1[[#This Row],[tiempo]]/(IF(Tabla1[[#This Row],[tamanho]]=$I$3,$L$3,IF(Tabla1[[#This Row],[tamanho]]=$I$4,$L$4,IF(Tabla1[[#This Row],[tamanho]]=$I$5,$L$5,IF(Tabla1[[#This Row],[tamanho]]=$I$6,$L$6,0))))*IF(C1234="8_1",9,25))</f>
        <v>4.0983837020138403E-7</v>
      </c>
    </row>
    <row r="1235" spans="1:6" ht="12.75" x14ac:dyDescent="0.2">
      <c r="A1235" s="1">
        <v>51</v>
      </c>
      <c r="B1235" s="1">
        <v>2</v>
      </c>
      <c r="C1235" s="1" t="s">
        <v>5</v>
      </c>
      <c r="D1235" s="1" t="s">
        <v>9</v>
      </c>
      <c r="E1235" s="1">
        <v>1.66849160194396</v>
      </c>
      <c r="F1235" s="1">
        <f>Tabla1[[#This Row],[tiempo]]/(IF(Tabla1[[#This Row],[tamanho]]=$I$3,$L$3,IF(Tabla1[[#This Row],[tamanho]]=$I$4,$L$4,IF(Tabla1[[#This Row],[tamanho]]=$I$5,$L$5,IF(Tabla1[[#This Row],[tamanho]]=$I$6,$L$6,0))))*IF(C1235="8_1",9,25))</f>
        <v>1.0101674773136251E-6</v>
      </c>
    </row>
    <row r="1236" spans="1:6" ht="12.75" x14ac:dyDescent="0.2">
      <c r="A1236" s="1">
        <v>51</v>
      </c>
      <c r="B1236" s="1">
        <v>2</v>
      </c>
      <c r="C1236" s="1" t="s">
        <v>7</v>
      </c>
      <c r="D1236" s="1" t="s">
        <v>9</v>
      </c>
      <c r="E1236" s="1">
        <v>1.8676772117614699</v>
      </c>
      <c r="F1236" s="1">
        <f>Tabla1[[#This Row],[tiempo]]/(IF(Tabla1[[#This Row],[tamanho]]=$I$3,$L$3,IF(Tabla1[[#This Row],[tamanho]]=$I$4,$L$4,IF(Tabla1[[#This Row],[tamanho]]=$I$5,$L$5,IF(Tabla1[[#This Row],[tamanho]]=$I$6,$L$6,0))))*IF(C1236="8_1",9,25))</f>
        <v>4.0707429338421988E-7</v>
      </c>
    </row>
    <row r="1237" spans="1:6" ht="12.75" x14ac:dyDescent="0.2">
      <c r="A1237" s="1">
        <v>51</v>
      </c>
      <c r="B1237" s="1">
        <v>2</v>
      </c>
      <c r="C1237" s="1" t="s">
        <v>8</v>
      </c>
      <c r="D1237" s="1" t="s">
        <v>9</v>
      </c>
      <c r="E1237" s="1">
        <v>1.88663506507873</v>
      </c>
      <c r="F1237" s="1">
        <f>Tabla1[[#This Row],[tiempo]]/(IF(Tabla1[[#This Row],[tamanho]]=$I$3,$L$3,IF(Tabla1[[#This Row],[tamanho]]=$I$4,$L$4,IF(Tabla1[[#This Row],[tamanho]]=$I$5,$L$5,IF(Tabla1[[#This Row],[tamanho]]=$I$6,$L$6,0))))*IF(C1237="8_1",9,25))</f>
        <v>4.1120630007927769E-7</v>
      </c>
    </row>
    <row r="1238" spans="1:6" ht="12.75" x14ac:dyDescent="0.2">
      <c r="A1238" s="1">
        <v>51</v>
      </c>
      <c r="B1238" s="1">
        <v>3</v>
      </c>
      <c r="C1238" s="1" t="s">
        <v>5</v>
      </c>
      <c r="D1238" s="1" t="s">
        <v>6</v>
      </c>
      <c r="E1238" s="1">
        <v>3.7905960083007799</v>
      </c>
      <c r="F1238" s="1">
        <f>Tabla1[[#This Row],[tiempo]]/(IF(Tabla1[[#This Row],[tamanho]]=$I$3,$L$3,IF(Tabla1[[#This Row],[tamanho]]=$I$4,$L$4,IF(Tabla1[[#This Row],[tamanho]]=$I$5,$L$5,IF(Tabla1[[#This Row],[tamanho]]=$I$6,$L$6,0))))*IF(C1238="8_1",9,25))</f>
        <v>1.0191755032767874E-6</v>
      </c>
    </row>
    <row r="1239" spans="1:6" ht="12.75" x14ac:dyDescent="0.2">
      <c r="A1239" s="1">
        <v>51</v>
      </c>
      <c r="B1239" s="1">
        <v>3</v>
      </c>
      <c r="C1239" s="1" t="s">
        <v>7</v>
      </c>
      <c r="D1239" s="1" t="s">
        <v>6</v>
      </c>
      <c r="E1239" s="1">
        <v>4.2988750934600803</v>
      </c>
      <c r="F1239" s="1">
        <f>Tabla1[[#This Row],[tiempo]]/(IF(Tabla1[[#This Row],[tamanho]]=$I$3,$L$3,IF(Tabla1[[#This Row],[tamanho]]=$I$4,$L$4,IF(Tabla1[[#This Row],[tamanho]]=$I$5,$L$5,IF(Tabla1[[#This Row],[tamanho]]=$I$6,$L$6,0))))*IF(C1239="8_1",9,25))</f>
        <v>4.1610104158567081E-7</v>
      </c>
    </row>
    <row r="1240" spans="1:6" ht="12.75" x14ac:dyDescent="0.2">
      <c r="A1240" s="1">
        <v>51</v>
      </c>
      <c r="B1240" s="1">
        <v>3</v>
      </c>
      <c r="C1240" s="1" t="s">
        <v>8</v>
      </c>
      <c r="D1240" s="1" t="s">
        <v>6</v>
      </c>
      <c r="E1240" s="1">
        <v>4.3163712024688703</v>
      </c>
      <c r="F1240" s="1">
        <f>Tabla1[[#This Row],[tiempo]]/(IF(Tabla1[[#This Row],[tamanho]]=$I$3,$L$3,IF(Tabla1[[#This Row],[tamanho]]=$I$4,$L$4,IF(Tabla1[[#This Row],[tamanho]]=$I$5,$L$5,IF(Tabla1[[#This Row],[tamanho]]=$I$6,$L$6,0))))*IF(C1240="8_1",9,25))</f>
        <v>4.1779454256534086E-7</v>
      </c>
    </row>
    <row r="1241" spans="1:6" ht="12.75" x14ac:dyDescent="0.2">
      <c r="A1241" s="1">
        <v>51</v>
      </c>
      <c r="B1241" s="1">
        <v>3</v>
      </c>
      <c r="C1241" s="1" t="s">
        <v>5</v>
      </c>
      <c r="D1241" s="1" t="s">
        <v>9</v>
      </c>
      <c r="E1241" s="1">
        <v>3.7704942226409899</v>
      </c>
      <c r="F1241" s="1">
        <f>Tabla1[[#This Row],[tiempo]]/(IF(Tabla1[[#This Row],[tamanho]]=$I$3,$L$3,IF(Tabla1[[#This Row],[tamanho]]=$I$4,$L$4,IF(Tabla1[[#This Row],[tamanho]]=$I$5,$L$5,IF(Tabla1[[#This Row],[tamanho]]=$I$6,$L$6,0))))*IF(C1241="8_1",9,25))</f>
        <v>1.0137707470137315E-6</v>
      </c>
    </row>
    <row r="1242" spans="1:6" ht="12.75" x14ac:dyDescent="0.2">
      <c r="A1242" s="1">
        <v>51</v>
      </c>
      <c r="B1242" s="1">
        <v>3</v>
      </c>
      <c r="C1242" s="1" t="s">
        <v>7</v>
      </c>
      <c r="D1242" s="1" t="s">
        <v>9</v>
      </c>
      <c r="E1242" s="1">
        <v>4.2420544624328604</v>
      </c>
      <c r="F1242" s="1">
        <f>Tabla1[[#This Row],[tiempo]]/(IF(Tabla1[[#This Row],[tamanho]]=$I$3,$L$3,IF(Tabla1[[#This Row],[tamanho]]=$I$4,$L$4,IF(Tabla1[[#This Row],[tamanho]]=$I$5,$L$5,IF(Tabla1[[#This Row],[tamanho]]=$I$6,$L$6,0))))*IF(C1242="8_1",9,25))</f>
        <v>4.1060120192065012E-7</v>
      </c>
    </row>
    <row r="1243" spans="1:6" ht="12.75" x14ac:dyDescent="0.2">
      <c r="A1243" s="1">
        <v>51</v>
      </c>
      <c r="B1243" s="1">
        <v>3</v>
      </c>
      <c r="C1243" s="1" t="s">
        <v>8</v>
      </c>
      <c r="D1243" s="1" t="s">
        <v>9</v>
      </c>
      <c r="E1243" s="1">
        <v>4.2681980133056596</v>
      </c>
      <c r="F1243" s="1">
        <f>Tabla1[[#This Row],[tiempo]]/(IF(Tabla1[[#This Row],[tamanho]]=$I$3,$L$3,IF(Tabla1[[#This Row],[tamanho]]=$I$4,$L$4,IF(Tabla1[[#This Row],[tamanho]]=$I$5,$L$5,IF(Tabla1[[#This Row],[tamanho]]=$I$6,$L$6,0))))*IF(C1243="8_1",9,25))</f>
        <v>4.131317147902771E-7</v>
      </c>
    </row>
    <row r="1244" spans="1:6" ht="12.75" x14ac:dyDescent="0.2">
      <c r="A1244" s="1">
        <v>51</v>
      </c>
      <c r="B1244" s="1">
        <v>4</v>
      </c>
      <c r="C1244" s="1" t="s">
        <v>5</v>
      </c>
      <c r="D1244" s="1" t="s">
        <v>6</v>
      </c>
      <c r="E1244" s="1">
        <v>6.7971994876861501</v>
      </c>
      <c r="F1244" s="1">
        <f>Tabla1[[#This Row],[tiempo]]/(IF(Tabla1[[#This Row],[tamanho]]=$I$3,$L$3,IF(Tabla1[[#This Row],[tamanho]]=$I$4,$L$4,IF(Tabla1[[#This Row],[tamanho]]=$I$5,$L$5,IF(Tabla1[[#This Row],[tamanho]]=$I$6,$L$6,0))))*IF(C1244="8_1",9,25))</f>
        <v>1.0264220008897535E-6</v>
      </c>
    </row>
    <row r="1245" spans="1:6" ht="12.75" x14ac:dyDescent="0.2">
      <c r="A1245" s="1">
        <v>51</v>
      </c>
      <c r="B1245" s="1">
        <v>4</v>
      </c>
      <c r="C1245" s="1" t="s">
        <v>7</v>
      </c>
      <c r="D1245" s="1" t="s">
        <v>6</v>
      </c>
      <c r="E1245" s="1">
        <v>7.7873518466949401</v>
      </c>
      <c r="F1245" s="1">
        <f>Tabla1[[#This Row],[tiempo]]/(IF(Tabla1[[#This Row],[tamanho]]=$I$3,$L$3,IF(Tabla1[[#This Row],[tamanho]]=$I$4,$L$4,IF(Tabla1[[#This Row],[tamanho]]=$I$5,$L$5,IF(Tabla1[[#This Row],[tamanho]]=$I$6,$L$6,0))))*IF(C1245="8_1",9,25))</f>
        <v>4.233389560355117E-7</v>
      </c>
    </row>
    <row r="1246" spans="1:6" ht="12.75" x14ac:dyDescent="0.2">
      <c r="A1246" s="1">
        <v>51</v>
      </c>
      <c r="B1246" s="1">
        <v>4</v>
      </c>
      <c r="C1246" s="1" t="s">
        <v>8</v>
      </c>
      <c r="D1246" s="1" t="s">
        <v>6</v>
      </c>
      <c r="E1246" s="1">
        <v>7.6783020496368399</v>
      </c>
      <c r="F1246" s="1">
        <f>Tabla1[[#This Row],[tiempo]]/(IF(Tabla1[[#This Row],[tamanho]]=$I$3,$L$3,IF(Tabla1[[#This Row],[tamanho]]=$I$4,$L$4,IF(Tabla1[[#This Row],[tamanho]]=$I$5,$L$5,IF(Tabla1[[#This Row],[tamanho]]=$I$6,$L$6,0))))*IF(C1246="8_1",9,25))</f>
        <v>4.174107498684751E-7</v>
      </c>
    </row>
    <row r="1247" spans="1:6" ht="12.75" x14ac:dyDescent="0.2">
      <c r="A1247" s="1">
        <v>51</v>
      </c>
      <c r="B1247" s="1">
        <v>4</v>
      </c>
      <c r="C1247" s="1" t="s">
        <v>5</v>
      </c>
      <c r="D1247" s="1" t="s">
        <v>9</v>
      </c>
      <c r="E1247" s="1">
        <v>6.9304647445678702</v>
      </c>
      <c r="F1247" s="1">
        <f>Tabla1[[#This Row],[tiempo]]/(IF(Tabla1[[#This Row],[tamanho]]=$I$3,$L$3,IF(Tabla1[[#This Row],[tamanho]]=$I$4,$L$4,IF(Tabla1[[#This Row],[tamanho]]=$I$5,$L$5,IF(Tabla1[[#This Row],[tamanho]]=$I$6,$L$6,0))))*IF(C1247="8_1",9,25))</f>
        <v>1.046545934557645E-6</v>
      </c>
    </row>
    <row r="1248" spans="1:6" ht="12.75" x14ac:dyDescent="0.2">
      <c r="A1248" s="1">
        <v>51</v>
      </c>
      <c r="B1248" s="1">
        <v>4</v>
      </c>
      <c r="C1248" s="1" t="s">
        <v>7</v>
      </c>
      <c r="D1248" s="1" t="s">
        <v>9</v>
      </c>
      <c r="E1248" s="1">
        <v>7.6544072628021196</v>
      </c>
      <c r="F1248" s="1">
        <f>Tabla1[[#This Row],[tiempo]]/(IF(Tabla1[[#This Row],[tamanho]]=$I$3,$L$3,IF(Tabla1[[#This Row],[tamanho]]=$I$4,$L$4,IF(Tabla1[[#This Row],[tamanho]]=$I$5,$L$5,IF(Tabla1[[#This Row],[tamanho]]=$I$6,$L$6,0))))*IF(C1248="8_1",9,25))</f>
        <v>4.1611177246095052E-7</v>
      </c>
    </row>
    <row r="1249" spans="1:6" ht="12.75" x14ac:dyDescent="0.2">
      <c r="A1249" s="1">
        <v>51</v>
      </c>
      <c r="B1249" s="1">
        <v>4</v>
      </c>
      <c r="C1249" s="1" t="s">
        <v>8</v>
      </c>
      <c r="D1249" s="1" t="s">
        <v>9</v>
      </c>
      <c r="E1249" s="1">
        <v>7.71177053451538</v>
      </c>
      <c r="F1249" s="1">
        <f>Tabla1[[#This Row],[tiempo]]/(IF(Tabla1[[#This Row],[tamanho]]=$I$3,$L$3,IF(Tabla1[[#This Row],[tamanho]]=$I$4,$L$4,IF(Tabla1[[#This Row],[tamanho]]=$I$5,$L$5,IF(Tabla1[[#This Row],[tamanho]]=$I$6,$L$6,0))))*IF(C1249="8_1",9,25))</f>
        <v>4.1923017625725257E-7</v>
      </c>
    </row>
    <row r="1250" spans="1:6" ht="12.75" x14ac:dyDescent="0.2">
      <c r="A1250" s="1">
        <v>52</v>
      </c>
      <c r="B1250" s="1">
        <v>1</v>
      </c>
      <c r="C1250" s="1" t="s">
        <v>5</v>
      </c>
      <c r="D1250" s="1" t="s">
        <v>6</v>
      </c>
      <c r="E1250" s="1">
        <v>0.407777309417724</v>
      </c>
      <c r="F1250" s="1">
        <f>Tabla1[[#This Row],[tiempo]]/(IF(Tabla1[[#This Row],[tamanho]]=$I$3,$L$3,IF(Tabla1[[#This Row],[tamanho]]=$I$4,$L$4,IF(Tabla1[[#This Row],[tamanho]]=$I$5,$L$5,IF(Tabla1[[#This Row],[tamanho]]=$I$6,$L$6,0))))*IF(C1250="8_1",9,25))</f>
        <v>1.6805233461408207E-6</v>
      </c>
    </row>
    <row r="1251" spans="1:6" ht="12.75" x14ac:dyDescent="0.2">
      <c r="A1251" s="1">
        <v>52</v>
      </c>
      <c r="B1251" s="1">
        <v>1</v>
      </c>
      <c r="C1251" s="1" t="s">
        <v>7</v>
      </c>
      <c r="D1251" s="1" t="s">
        <v>6</v>
      </c>
      <c r="E1251" s="1">
        <v>0.45937156677245999</v>
      </c>
      <c r="F1251" s="1">
        <f>Tabla1[[#This Row],[tiempo]]/(IF(Tabla1[[#This Row],[tamanho]]=$I$3,$L$3,IF(Tabla1[[#This Row],[tamanho]]=$I$4,$L$4,IF(Tabla1[[#This Row],[tamanho]]=$I$5,$L$5,IF(Tabla1[[#This Row],[tamanho]]=$I$6,$L$6,0))))*IF(C1251="8_1",9,25))</f>
        <v>6.8153490860496274E-7</v>
      </c>
    </row>
    <row r="1252" spans="1:6" ht="12.75" x14ac:dyDescent="0.2">
      <c r="A1252" s="1">
        <v>52</v>
      </c>
      <c r="B1252" s="1">
        <v>1</v>
      </c>
      <c r="C1252" s="1" t="s">
        <v>8</v>
      </c>
      <c r="D1252" s="1" t="s">
        <v>6</v>
      </c>
      <c r="E1252" s="1">
        <v>0.45981931686401301</v>
      </c>
      <c r="F1252" s="1">
        <f>Tabla1[[#This Row],[tiempo]]/(IF(Tabla1[[#This Row],[tamanho]]=$I$3,$L$3,IF(Tabla1[[#This Row],[tamanho]]=$I$4,$L$4,IF(Tabla1[[#This Row],[tamanho]]=$I$5,$L$5,IF(Tabla1[[#This Row],[tamanho]]=$I$6,$L$6,0))))*IF(C1252="8_1",9,25))</f>
        <v>6.821992016082682E-7</v>
      </c>
    </row>
    <row r="1253" spans="1:6" ht="12.75" x14ac:dyDescent="0.2">
      <c r="A1253" s="1">
        <v>52</v>
      </c>
      <c r="B1253" s="1">
        <v>1</v>
      </c>
      <c r="C1253" s="1" t="s">
        <v>5</v>
      </c>
      <c r="D1253" s="1" t="s">
        <v>9</v>
      </c>
      <c r="E1253" s="1">
        <v>0.40939927101135198</v>
      </c>
      <c r="F1253" s="1">
        <f>Tabla1[[#This Row],[tiempo]]/(IF(Tabla1[[#This Row],[tamanho]]=$I$3,$L$3,IF(Tabla1[[#This Row],[tamanho]]=$I$4,$L$4,IF(Tabla1[[#This Row],[tamanho]]=$I$5,$L$5,IF(Tabla1[[#This Row],[tamanho]]=$I$6,$L$6,0))))*IF(C1253="8_1",9,25))</f>
        <v>1.6872077404454665E-6</v>
      </c>
    </row>
    <row r="1254" spans="1:6" ht="12.75" x14ac:dyDescent="0.2">
      <c r="A1254" s="1">
        <v>52</v>
      </c>
      <c r="B1254" s="1">
        <v>1</v>
      </c>
      <c r="C1254" s="1" t="s">
        <v>7</v>
      </c>
      <c r="D1254" s="1" t="s">
        <v>9</v>
      </c>
      <c r="E1254" s="1">
        <v>0.45502877235412598</v>
      </c>
      <c r="F1254" s="1">
        <f>Tabla1[[#This Row],[tiempo]]/(IF(Tabla1[[#This Row],[tamanho]]=$I$3,$L$3,IF(Tabla1[[#This Row],[tamanho]]=$I$4,$L$4,IF(Tabla1[[#This Row],[tamanho]]=$I$5,$L$5,IF(Tabla1[[#This Row],[tamanho]]=$I$6,$L$6,0))))*IF(C1254="8_1",9,25))</f>
        <v>6.750918324307347E-7</v>
      </c>
    </row>
    <row r="1255" spans="1:6" ht="12.75" x14ac:dyDescent="0.2">
      <c r="A1255" s="1">
        <v>52</v>
      </c>
      <c r="B1255" s="1">
        <v>1</v>
      </c>
      <c r="C1255" s="1" t="s">
        <v>8</v>
      </c>
      <c r="D1255" s="1" t="s">
        <v>9</v>
      </c>
      <c r="E1255" s="1">
        <v>0.46243071556091297</v>
      </c>
      <c r="F1255" s="1">
        <f>Tabla1[[#This Row],[tiempo]]/(IF(Tabla1[[#This Row],[tamanho]]=$I$3,$L$3,IF(Tabla1[[#This Row],[tamanho]]=$I$4,$L$4,IF(Tabla1[[#This Row],[tamanho]]=$I$5,$L$5,IF(Tabla1[[#This Row],[tamanho]]=$I$6,$L$6,0))))*IF(C1255="8_1",9,25))</f>
        <v>6.8607353668026107E-7</v>
      </c>
    </row>
    <row r="1256" spans="1:6" ht="12.75" x14ac:dyDescent="0.2">
      <c r="A1256" s="1">
        <v>52</v>
      </c>
      <c r="B1256" s="1">
        <v>2</v>
      </c>
      <c r="C1256" s="1" t="s">
        <v>5</v>
      </c>
      <c r="D1256" s="1" t="s">
        <v>6</v>
      </c>
      <c r="E1256" s="1">
        <v>1.6690318584442101</v>
      </c>
      <c r="F1256" s="1">
        <f>Tabla1[[#This Row],[tiempo]]/(IF(Tabla1[[#This Row],[tamanho]]=$I$3,$L$3,IF(Tabla1[[#This Row],[tamanho]]=$I$4,$L$4,IF(Tabla1[[#This Row],[tamanho]]=$I$5,$L$5,IF(Tabla1[[#This Row],[tamanho]]=$I$6,$L$6,0))))*IF(C1256="8_1",9,25))</f>
        <v>1.0104945688886285E-6</v>
      </c>
    </row>
    <row r="1257" spans="1:6" ht="12.75" x14ac:dyDescent="0.2">
      <c r="A1257" s="1">
        <v>52</v>
      </c>
      <c r="B1257" s="1">
        <v>2</v>
      </c>
      <c r="C1257" s="1" t="s">
        <v>7</v>
      </c>
      <c r="D1257" s="1" t="s">
        <v>6</v>
      </c>
      <c r="E1257" s="1">
        <v>1.86911249160766</v>
      </c>
      <c r="F1257" s="1">
        <f>Tabla1[[#This Row],[tiempo]]/(IF(Tabla1[[#This Row],[tamanho]]=$I$3,$L$3,IF(Tabla1[[#This Row],[tamanho]]=$I$4,$L$4,IF(Tabla1[[#This Row],[tamanho]]=$I$5,$L$5,IF(Tabla1[[#This Row],[tamanho]]=$I$6,$L$6,0))))*IF(C1257="8_1",9,25))</f>
        <v>4.0738712342011531E-7</v>
      </c>
    </row>
    <row r="1258" spans="1:6" ht="12.75" x14ac:dyDescent="0.2">
      <c r="A1258" s="1">
        <v>52</v>
      </c>
      <c r="B1258" s="1">
        <v>2</v>
      </c>
      <c r="C1258" s="1" t="s">
        <v>8</v>
      </c>
      <c r="D1258" s="1" t="s">
        <v>6</v>
      </c>
      <c r="E1258" s="1">
        <v>1.8831436634063701</v>
      </c>
      <c r="F1258" s="1">
        <f>Tabla1[[#This Row],[tiempo]]/(IF(Tabla1[[#This Row],[tamanho]]=$I$3,$L$3,IF(Tabla1[[#This Row],[tamanho]]=$I$4,$L$4,IF(Tabla1[[#This Row],[tamanho]]=$I$5,$L$5,IF(Tabla1[[#This Row],[tamanho]]=$I$6,$L$6,0))))*IF(C1258="8_1",9,25))</f>
        <v>4.1044532282916928E-7</v>
      </c>
    </row>
    <row r="1259" spans="1:6" ht="12.75" x14ac:dyDescent="0.2">
      <c r="A1259" s="1">
        <v>52</v>
      </c>
      <c r="B1259" s="1">
        <v>2</v>
      </c>
      <c r="C1259" s="1" t="s">
        <v>5</v>
      </c>
      <c r="D1259" s="1" t="s">
        <v>9</v>
      </c>
      <c r="E1259" s="1">
        <v>1.67886686325073</v>
      </c>
      <c r="F1259" s="1">
        <f>Tabla1[[#This Row],[tiempo]]/(IF(Tabla1[[#This Row],[tamanho]]=$I$3,$L$3,IF(Tabla1[[#This Row],[tamanho]]=$I$4,$L$4,IF(Tabla1[[#This Row],[tamanho]]=$I$5,$L$5,IF(Tabla1[[#This Row],[tamanho]]=$I$6,$L$6,0))))*IF(C1259="8_1",9,25))</f>
        <v>1.0164490501597326E-6</v>
      </c>
    </row>
    <row r="1260" spans="1:6" ht="12.75" x14ac:dyDescent="0.2">
      <c r="A1260" s="1">
        <v>52</v>
      </c>
      <c r="B1260" s="1">
        <v>2</v>
      </c>
      <c r="C1260" s="1" t="s">
        <v>7</v>
      </c>
      <c r="D1260" s="1" t="s">
        <v>9</v>
      </c>
      <c r="E1260" s="1">
        <v>1.8761062622070299</v>
      </c>
      <c r="F1260" s="1">
        <f>Tabla1[[#This Row],[tiempo]]/(IF(Tabla1[[#This Row],[tamanho]]=$I$3,$L$3,IF(Tabla1[[#This Row],[tamanho]]=$I$4,$L$4,IF(Tabla1[[#This Row],[tamanho]]=$I$5,$L$5,IF(Tabla1[[#This Row],[tamanho]]=$I$6,$L$6,0))))*IF(C1260="8_1",9,25))</f>
        <v>4.0891146831595775E-7</v>
      </c>
    </row>
    <row r="1261" spans="1:6" ht="12.75" x14ac:dyDescent="0.2">
      <c r="A1261" s="1">
        <v>52</v>
      </c>
      <c r="B1261" s="1">
        <v>2</v>
      </c>
      <c r="C1261" s="1" t="s">
        <v>8</v>
      </c>
      <c r="D1261" s="1" t="s">
        <v>9</v>
      </c>
      <c r="E1261" s="1">
        <v>1.89432501792907</v>
      </c>
      <c r="F1261" s="1">
        <f>Tabla1[[#This Row],[tiempo]]/(IF(Tabla1[[#This Row],[tamanho]]=$I$3,$L$3,IF(Tabla1[[#This Row],[tamanho]]=$I$4,$L$4,IF(Tabla1[[#This Row],[tamanho]]=$I$5,$L$5,IF(Tabla1[[#This Row],[tamanho]]=$I$6,$L$6,0))))*IF(C1261="8_1",9,25))</f>
        <v>4.1288238313206481E-7</v>
      </c>
    </row>
    <row r="1262" spans="1:6" ht="12.75" x14ac:dyDescent="0.2">
      <c r="A1262" s="1">
        <v>52</v>
      </c>
      <c r="B1262" s="1">
        <v>3</v>
      </c>
      <c r="C1262" s="1" t="s">
        <v>5</v>
      </c>
      <c r="D1262" s="1" t="s">
        <v>6</v>
      </c>
      <c r="E1262" s="1">
        <v>3.87692093849182</v>
      </c>
      <c r="F1262" s="1">
        <f>Tabla1[[#This Row],[tiempo]]/(IF(Tabla1[[#This Row],[tamanho]]=$I$3,$L$3,IF(Tabla1[[#This Row],[tamanho]]=$I$4,$L$4,IF(Tabla1[[#This Row],[tamanho]]=$I$5,$L$5,IF(Tabla1[[#This Row],[tamanho]]=$I$6,$L$6,0))))*IF(C1262="8_1",9,25))</f>
        <v>1.0423856406747386E-6</v>
      </c>
    </row>
    <row r="1263" spans="1:6" ht="12.75" x14ac:dyDescent="0.2">
      <c r="A1263" s="1">
        <v>52</v>
      </c>
      <c r="B1263" s="1">
        <v>3</v>
      </c>
      <c r="C1263" s="1" t="s">
        <v>7</v>
      </c>
      <c r="D1263" s="1" t="s">
        <v>6</v>
      </c>
      <c r="E1263" s="1">
        <v>4.3491804599761901</v>
      </c>
      <c r="F1263" s="1">
        <f>Tabla1[[#This Row],[tiempo]]/(IF(Tabla1[[#This Row],[tamanho]]=$I$3,$L$3,IF(Tabla1[[#This Row],[tamanho]]=$I$4,$L$4,IF(Tabla1[[#This Row],[tamanho]]=$I$5,$L$5,IF(Tabla1[[#This Row],[tamanho]]=$I$6,$L$6,0))))*IF(C1263="8_1",9,25))</f>
        <v>4.2097024921548687E-7</v>
      </c>
    </row>
    <row r="1264" spans="1:6" ht="12.75" x14ac:dyDescent="0.2">
      <c r="A1264" s="1">
        <v>52</v>
      </c>
      <c r="B1264" s="1">
        <v>3</v>
      </c>
      <c r="C1264" s="1" t="s">
        <v>8</v>
      </c>
      <c r="D1264" s="1" t="s">
        <v>6</v>
      </c>
      <c r="E1264" s="1">
        <v>4.3772475719451904</v>
      </c>
      <c r="F1264" s="1">
        <f>Tabla1[[#This Row],[tiempo]]/(IF(Tabla1[[#This Row],[tamanho]]=$I$3,$L$3,IF(Tabla1[[#This Row],[tamanho]]=$I$4,$L$4,IF(Tabla1[[#This Row],[tamanho]]=$I$5,$L$5,IF(Tabla1[[#This Row],[tamanho]]=$I$6,$L$6,0))))*IF(C1264="8_1",9,25))</f>
        <v>4.2368694934533475E-7</v>
      </c>
    </row>
    <row r="1265" spans="1:6" ht="12.75" x14ac:dyDescent="0.2">
      <c r="A1265" s="1">
        <v>52</v>
      </c>
      <c r="B1265" s="1">
        <v>3</v>
      </c>
      <c r="C1265" s="1" t="s">
        <v>5</v>
      </c>
      <c r="D1265" s="1" t="s">
        <v>9</v>
      </c>
      <c r="E1265" s="1">
        <v>3.8762252330779998</v>
      </c>
      <c r="F1265" s="1">
        <f>Tabla1[[#This Row],[tiempo]]/(IF(Tabla1[[#This Row],[tamanho]]=$I$3,$L$3,IF(Tabla1[[#This Row],[tamanho]]=$I$4,$L$4,IF(Tabla1[[#This Row],[tamanho]]=$I$5,$L$5,IF(Tabla1[[#This Row],[tamanho]]=$I$6,$L$6,0))))*IF(C1265="8_1",9,25))</f>
        <v>1.0421985867355402E-6</v>
      </c>
    </row>
    <row r="1266" spans="1:6" ht="12.75" x14ac:dyDescent="0.2">
      <c r="A1266" s="1">
        <v>52</v>
      </c>
      <c r="B1266" s="1">
        <v>3</v>
      </c>
      <c r="C1266" s="1" t="s">
        <v>7</v>
      </c>
      <c r="D1266" s="1" t="s">
        <v>9</v>
      </c>
      <c r="E1266" s="1">
        <v>4.3344359397888104</v>
      </c>
      <c r="F1266" s="1">
        <f>Tabla1[[#This Row],[tiempo]]/(IF(Tabla1[[#This Row],[tamanho]]=$I$3,$L$3,IF(Tabla1[[#This Row],[tamanho]]=$I$4,$L$4,IF(Tabla1[[#This Row],[tamanho]]=$I$5,$L$5,IF(Tabla1[[#This Row],[tamanho]]=$I$6,$L$6,0))))*IF(C1266="8_1",9,25))</f>
        <v>4.1954308278839457E-7</v>
      </c>
    </row>
    <row r="1267" spans="1:6" ht="12.75" x14ac:dyDescent="0.2">
      <c r="A1267" s="1">
        <v>52</v>
      </c>
      <c r="B1267" s="1">
        <v>3</v>
      </c>
      <c r="C1267" s="1" t="s">
        <v>8</v>
      </c>
      <c r="D1267" s="1" t="s">
        <v>9</v>
      </c>
      <c r="E1267" s="1">
        <v>4.3723480701446498</v>
      </c>
      <c r="F1267" s="1">
        <f>Tabla1[[#This Row],[tiempo]]/(IF(Tabla1[[#This Row],[tamanho]]=$I$3,$L$3,IF(Tabla1[[#This Row],[tamanho]]=$I$4,$L$4,IF(Tabla1[[#This Row],[tamanho]]=$I$5,$L$5,IF(Tabla1[[#This Row],[tamanho]]=$I$6,$L$6,0))))*IF(C1267="8_1",9,25))</f>
        <v>4.2321271183944457E-7</v>
      </c>
    </row>
    <row r="1268" spans="1:6" ht="12.75" x14ac:dyDescent="0.2">
      <c r="A1268" s="1">
        <v>52</v>
      </c>
      <c r="B1268" s="1">
        <v>4</v>
      </c>
      <c r="C1268" s="1" t="s">
        <v>5</v>
      </c>
      <c r="D1268" s="1" t="s">
        <v>6</v>
      </c>
      <c r="E1268" s="1">
        <v>6.8984684944152797</v>
      </c>
      <c r="F1268" s="1">
        <f>Tabla1[[#This Row],[tiempo]]/(IF(Tabla1[[#This Row],[tamanho]]=$I$3,$L$3,IF(Tabla1[[#This Row],[tamanho]]=$I$4,$L$4,IF(Tabla1[[#This Row],[tamanho]]=$I$5,$L$5,IF(Tabla1[[#This Row],[tamanho]]=$I$6,$L$6,0))))*IF(C1268="8_1",9,25))</f>
        <v>1.0417142895305884E-6</v>
      </c>
    </row>
    <row r="1269" spans="1:6" ht="12.75" x14ac:dyDescent="0.2">
      <c r="A1269" s="1">
        <v>52</v>
      </c>
      <c r="B1269" s="1">
        <v>4</v>
      </c>
      <c r="C1269" s="1" t="s">
        <v>7</v>
      </c>
      <c r="D1269" s="1" t="s">
        <v>6</v>
      </c>
      <c r="E1269" s="1">
        <v>7.722412109375</v>
      </c>
      <c r="F1269" s="1">
        <f>Tabla1[[#This Row],[tiempo]]/(IF(Tabla1[[#This Row],[tamanho]]=$I$3,$L$3,IF(Tabla1[[#This Row],[tamanho]]=$I$4,$L$4,IF(Tabla1[[#This Row],[tamanho]]=$I$5,$L$5,IF(Tabla1[[#This Row],[tamanho]]=$I$6,$L$6,0))))*IF(C1269="8_1",9,25))</f>
        <v>4.1980867756043397E-7</v>
      </c>
    </row>
    <row r="1270" spans="1:6" ht="12.75" x14ac:dyDescent="0.2">
      <c r="A1270" s="1">
        <v>52</v>
      </c>
      <c r="B1270" s="1">
        <v>4</v>
      </c>
      <c r="C1270" s="1" t="s">
        <v>8</v>
      </c>
      <c r="D1270" s="1" t="s">
        <v>6</v>
      </c>
      <c r="E1270" s="1">
        <v>7.68861961364746</v>
      </c>
      <c r="F1270" s="1">
        <f>Tabla1[[#This Row],[tiempo]]/(IF(Tabla1[[#This Row],[tamanho]]=$I$3,$L$3,IF(Tabla1[[#This Row],[tamanho]]=$I$4,$L$4,IF(Tabla1[[#This Row],[tamanho]]=$I$5,$L$5,IF(Tabla1[[#This Row],[tamanho]]=$I$6,$L$6,0))))*IF(C1270="8_1",9,25))</f>
        <v>4.17971637171768E-7</v>
      </c>
    </row>
    <row r="1271" spans="1:6" ht="12.75" x14ac:dyDescent="0.2">
      <c r="A1271" s="1">
        <v>52</v>
      </c>
      <c r="B1271" s="1">
        <v>4</v>
      </c>
      <c r="C1271" s="1" t="s">
        <v>5</v>
      </c>
      <c r="D1271" s="1" t="s">
        <v>9</v>
      </c>
      <c r="E1271" s="1">
        <v>6.939697265625</v>
      </c>
      <c r="F1271" s="1">
        <f>Tabla1[[#This Row],[tiempo]]/(IF(Tabla1[[#This Row],[tamanho]]=$I$3,$L$3,IF(Tabla1[[#This Row],[tamanho]]=$I$4,$L$4,IF(Tabla1[[#This Row],[tamanho]]=$I$5,$L$5,IF(Tabla1[[#This Row],[tamanho]]=$I$6,$L$6,0))))*IF(C1271="8_1",9,25))</f>
        <v>1.0479401061946382E-6</v>
      </c>
    </row>
    <row r="1272" spans="1:6" ht="12.75" x14ac:dyDescent="0.2">
      <c r="A1272" s="1">
        <v>52</v>
      </c>
      <c r="B1272" s="1">
        <v>4</v>
      </c>
      <c r="C1272" s="1" t="s">
        <v>7</v>
      </c>
      <c r="D1272" s="1" t="s">
        <v>9</v>
      </c>
      <c r="E1272" s="1">
        <v>7.7690401077270499</v>
      </c>
      <c r="F1272" s="1">
        <f>Tabla1[[#This Row],[tiempo]]/(IF(Tabla1[[#This Row],[tamanho]]=$I$3,$L$3,IF(Tabla1[[#This Row],[tamanho]]=$I$4,$L$4,IF(Tabla1[[#This Row],[tamanho]]=$I$5,$L$5,IF(Tabla1[[#This Row],[tamanho]]=$I$6,$L$6,0))))*IF(C1272="8_1",9,25))</f>
        <v>4.2234348638029741E-7</v>
      </c>
    </row>
    <row r="1273" spans="1:6" ht="12.75" x14ac:dyDescent="0.2">
      <c r="A1273" s="1">
        <v>52</v>
      </c>
      <c r="B1273" s="1">
        <v>4</v>
      </c>
      <c r="C1273" s="1" t="s">
        <v>8</v>
      </c>
      <c r="D1273" s="1" t="s">
        <v>9</v>
      </c>
      <c r="E1273" s="1">
        <v>7.7228379249572701</v>
      </c>
      <c r="F1273" s="1">
        <f>Tabla1[[#This Row],[tiempo]]/(IF(Tabla1[[#This Row],[tamanho]]=$I$3,$L$3,IF(Tabla1[[#This Row],[tamanho]]=$I$4,$L$4,IF(Tabla1[[#This Row],[tamanho]]=$I$5,$L$5,IF(Tabla1[[#This Row],[tamanho]]=$I$6,$L$6,0))))*IF(C1273="8_1",9,25))</f>
        <v>4.1983182590760133E-7</v>
      </c>
    </row>
    <row r="1274" spans="1:6" ht="12.75" x14ac:dyDescent="0.2">
      <c r="A1274" s="1">
        <v>53</v>
      </c>
      <c r="B1274" s="1">
        <v>1</v>
      </c>
      <c r="C1274" s="1" t="s">
        <v>5</v>
      </c>
      <c r="D1274" s="1" t="s">
        <v>6</v>
      </c>
      <c r="E1274" s="1">
        <v>0.410415649414062</v>
      </c>
      <c r="F1274" s="1">
        <f>Tabla1[[#This Row],[tiempo]]/(IF(Tabla1[[#This Row],[tamanho]]=$I$3,$L$3,IF(Tabla1[[#This Row],[tamanho]]=$I$4,$L$4,IF(Tabla1[[#This Row],[tamanho]]=$I$5,$L$5,IF(Tabla1[[#This Row],[tamanho]]=$I$6,$L$6,0))))*IF(C1274="8_1",9,25))</f>
        <v>1.6913964179290332E-6</v>
      </c>
    </row>
    <row r="1275" spans="1:6" ht="12.75" x14ac:dyDescent="0.2">
      <c r="A1275" s="1">
        <v>53</v>
      </c>
      <c r="B1275" s="1">
        <v>1</v>
      </c>
      <c r="C1275" s="1" t="s">
        <v>7</v>
      </c>
      <c r="D1275" s="1" t="s">
        <v>6</v>
      </c>
      <c r="E1275" s="1">
        <v>0.461559057235717</v>
      </c>
      <c r="F1275" s="1">
        <f>Tabla1[[#This Row],[tiempo]]/(IF(Tabla1[[#This Row],[tamanho]]=$I$3,$L$3,IF(Tabla1[[#This Row],[tamanho]]=$I$4,$L$4,IF(Tabla1[[#This Row],[tamanho]]=$I$5,$L$5,IF(Tabla1[[#This Row],[tamanho]]=$I$6,$L$6,0))))*IF(C1275="8_1",9,25))</f>
        <v>6.8478032303804308E-7</v>
      </c>
    </row>
    <row r="1276" spans="1:6" ht="12.75" x14ac:dyDescent="0.2">
      <c r="A1276" s="1">
        <v>53</v>
      </c>
      <c r="B1276" s="1">
        <v>1</v>
      </c>
      <c r="C1276" s="1" t="s">
        <v>8</v>
      </c>
      <c r="D1276" s="1" t="s">
        <v>6</v>
      </c>
      <c r="E1276" s="1">
        <v>0.46278691291808999</v>
      </c>
      <c r="F1276" s="1">
        <f>Tabla1[[#This Row],[tiempo]]/(IF(Tabla1[[#This Row],[tamanho]]=$I$3,$L$3,IF(Tabla1[[#This Row],[tamanho]]=$I$4,$L$4,IF(Tabla1[[#This Row],[tamanho]]=$I$5,$L$5,IF(Tabla1[[#This Row],[tamanho]]=$I$6,$L$6,0))))*IF(C1276="8_1",9,25))</f>
        <v>6.8660199980429512E-7</v>
      </c>
    </row>
    <row r="1277" spans="1:6" ht="12.75" x14ac:dyDescent="0.2">
      <c r="A1277" s="1">
        <v>53</v>
      </c>
      <c r="B1277" s="1">
        <v>1</v>
      </c>
      <c r="C1277" s="1" t="s">
        <v>5</v>
      </c>
      <c r="D1277" s="1" t="s">
        <v>9</v>
      </c>
      <c r="E1277" s="1">
        <v>0.40832591056823703</v>
      </c>
      <c r="F1277" s="1">
        <f>Tabla1[[#This Row],[tiempo]]/(IF(Tabla1[[#This Row],[tamanho]]=$I$3,$L$3,IF(Tabla1[[#This Row],[tamanho]]=$I$4,$L$4,IF(Tabla1[[#This Row],[tamanho]]=$I$5,$L$5,IF(Tabla1[[#This Row],[tamanho]]=$I$6,$L$6,0))))*IF(C1277="8_1",9,25))</f>
        <v>1.6827842297649568E-6</v>
      </c>
    </row>
    <row r="1278" spans="1:6" ht="12.75" x14ac:dyDescent="0.2">
      <c r="A1278" s="1">
        <v>53</v>
      </c>
      <c r="B1278" s="1">
        <v>1</v>
      </c>
      <c r="C1278" s="1" t="s">
        <v>7</v>
      </c>
      <c r="D1278" s="1" t="s">
        <v>9</v>
      </c>
      <c r="E1278" s="1">
        <v>0.46173810958862299</v>
      </c>
      <c r="F1278" s="1">
        <f>Tabla1[[#This Row],[tiempo]]/(IF(Tabla1[[#This Row],[tamanho]]=$I$3,$L$3,IF(Tabla1[[#This Row],[tamanho]]=$I$4,$L$4,IF(Tabla1[[#This Row],[tamanho]]=$I$5,$L$5,IF(Tabla1[[#This Row],[tamanho]]=$I$6,$L$6,0))))*IF(C1278="8_1",9,25))</f>
        <v>6.8504596949463738E-7</v>
      </c>
    </row>
    <row r="1279" spans="1:6" ht="12.75" x14ac:dyDescent="0.2">
      <c r="A1279" s="1">
        <v>53</v>
      </c>
      <c r="B1279" s="1">
        <v>1</v>
      </c>
      <c r="C1279" s="1" t="s">
        <v>8</v>
      </c>
      <c r="D1279" s="1" t="s">
        <v>9</v>
      </c>
      <c r="E1279" s="1">
        <v>0.46688246726989702</v>
      </c>
      <c r="F1279" s="1">
        <f>Tabla1[[#This Row],[tiempo]]/(IF(Tabla1[[#This Row],[tamanho]]=$I$3,$L$3,IF(Tabla1[[#This Row],[tamanho]]=$I$4,$L$4,IF(Tabla1[[#This Row],[tamanho]]=$I$5,$L$5,IF(Tabla1[[#This Row],[tamanho]]=$I$6,$L$6,0))))*IF(C1279="8_1",9,25))</f>
        <v>6.9267826455976711E-7</v>
      </c>
    </row>
    <row r="1280" spans="1:6" ht="12.75" x14ac:dyDescent="0.2">
      <c r="A1280" s="1">
        <v>53</v>
      </c>
      <c r="B1280" s="1">
        <v>2</v>
      </c>
      <c r="C1280" s="1" t="s">
        <v>5</v>
      </c>
      <c r="D1280" s="1" t="s">
        <v>6</v>
      </c>
      <c r="E1280" s="1">
        <v>1.69057965278625</v>
      </c>
      <c r="F1280" s="1">
        <f>Tabla1[[#This Row],[tiempo]]/(IF(Tabla1[[#This Row],[tamanho]]=$I$3,$L$3,IF(Tabla1[[#This Row],[tamanho]]=$I$4,$L$4,IF(Tabla1[[#This Row],[tamanho]]=$I$5,$L$5,IF(Tabla1[[#This Row],[tamanho]]=$I$6,$L$6,0))))*IF(C1280="8_1",9,25))</f>
        <v>1.0235404128274359E-6</v>
      </c>
    </row>
    <row r="1281" spans="1:6" ht="12.75" x14ac:dyDescent="0.2">
      <c r="A1281" s="1">
        <v>53</v>
      </c>
      <c r="B1281" s="1">
        <v>2</v>
      </c>
      <c r="C1281" s="1" t="s">
        <v>7</v>
      </c>
      <c r="D1281" s="1" t="s">
        <v>6</v>
      </c>
      <c r="E1281" s="1">
        <v>1.90072345733642</v>
      </c>
      <c r="F1281" s="1">
        <f>Tabla1[[#This Row],[tiempo]]/(IF(Tabla1[[#This Row],[tamanho]]=$I$3,$L$3,IF(Tabla1[[#This Row],[tamanho]]=$I$4,$L$4,IF(Tabla1[[#This Row],[tamanho]]=$I$5,$L$5,IF(Tabla1[[#This Row],[tamanho]]=$I$6,$L$6,0))))*IF(C1281="8_1",9,25))</f>
        <v>4.142769711176687E-7</v>
      </c>
    </row>
    <row r="1282" spans="1:6" ht="12.75" x14ac:dyDescent="0.2">
      <c r="A1282" s="1">
        <v>53</v>
      </c>
      <c r="B1282" s="1">
        <v>2</v>
      </c>
      <c r="C1282" s="1" t="s">
        <v>8</v>
      </c>
      <c r="D1282" s="1" t="s">
        <v>6</v>
      </c>
      <c r="E1282" s="1">
        <v>1.9141585826873699</v>
      </c>
      <c r="F1282" s="1">
        <f>Tabla1[[#This Row],[tiempo]]/(IF(Tabla1[[#This Row],[tamanho]]=$I$3,$L$3,IF(Tabla1[[#This Row],[tamanho]]=$I$4,$L$4,IF(Tabla1[[#This Row],[tamanho]]=$I$5,$L$5,IF(Tabla1[[#This Row],[tamanho]]=$I$6,$L$6,0))))*IF(C1282="8_1",9,25))</f>
        <v>4.172052577211168E-7</v>
      </c>
    </row>
    <row r="1283" spans="1:6" ht="12.75" x14ac:dyDescent="0.2">
      <c r="A1283" s="1">
        <v>53</v>
      </c>
      <c r="B1283" s="1">
        <v>2</v>
      </c>
      <c r="C1283" s="1" t="s">
        <v>5</v>
      </c>
      <c r="D1283" s="1" t="s">
        <v>9</v>
      </c>
      <c r="E1283" s="1">
        <v>1.674898147583</v>
      </c>
      <c r="F1283" s="1">
        <f>Tabla1[[#This Row],[tiempo]]/(IF(Tabla1[[#This Row],[tamanho]]=$I$3,$L$3,IF(Tabla1[[#This Row],[tamanho]]=$I$4,$L$4,IF(Tabla1[[#This Row],[tamanho]]=$I$5,$L$5,IF(Tabla1[[#This Row],[tamanho]]=$I$6,$L$6,0))))*IF(C1283="8_1",9,25))</f>
        <v>1.0140462406462925E-6</v>
      </c>
    </row>
    <row r="1284" spans="1:6" ht="12.75" x14ac:dyDescent="0.2">
      <c r="A1284" s="1">
        <v>53</v>
      </c>
      <c r="B1284" s="1">
        <v>2</v>
      </c>
      <c r="C1284" s="1" t="s">
        <v>7</v>
      </c>
      <c r="D1284" s="1" t="s">
        <v>9</v>
      </c>
      <c r="E1284" s="1">
        <v>1.87186455726623</v>
      </c>
      <c r="F1284" s="1">
        <f>Tabla1[[#This Row],[tiempo]]/(IF(Tabla1[[#This Row],[tamanho]]=$I$3,$L$3,IF(Tabla1[[#This Row],[tamanho]]=$I$4,$L$4,IF(Tabla1[[#This Row],[tamanho]]=$I$5,$L$5,IF(Tabla1[[#This Row],[tamanho]]=$I$6,$L$6,0))))*IF(C1284="8_1",9,25))</f>
        <v>4.0798695682615275E-7</v>
      </c>
    </row>
    <row r="1285" spans="1:6" ht="12.75" x14ac:dyDescent="0.2">
      <c r="A1285" s="1">
        <v>53</v>
      </c>
      <c r="B1285" s="1">
        <v>2</v>
      </c>
      <c r="C1285" s="1" t="s">
        <v>8</v>
      </c>
      <c r="D1285" s="1" t="s">
        <v>9</v>
      </c>
      <c r="E1285" s="1">
        <v>1.89865374565124</v>
      </c>
      <c r="F1285" s="1">
        <f>Tabla1[[#This Row],[tiempo]]/(IF(Tabla1[[#This Row],[tamanho]]=$I$3,$L$3,IF(Tabla1[[#This Row],[tamanho]]=$I$4,$L$4,IF(Tabla1[[#This Row],[tamanho]]=$I$5,$L$5,IF(Tabla1[[#This Row],[tamanho]]=$I$6,$L$6,0))))*IF(C1285="8_1",9,25))</f>
        <v>4.1382586189148769E-7</v>
      </c>
    </row>
    <row r="1286" spans="1:6" ht="12.75" x14ac:dyDescent="0.2">
      <c r="A1286" s="1">
        <v>53</v>
      </c>
      <c r="B1286" s="1">
        <v>3</v>
      </c>
      <c r="C1286" s="1" t="s">
        <v>5</v>
      </c>
      <c r="D1286" s="1" t="s">
        <v>6</v>
      </c>
      <c r="E1286" s="1">
        <v>3.85763216018676</v>
      </c>
      <c r="F1286" s="1">
        <f>Tabla1[[#This Row],[tiempo]]/(IF(Tabla1[[#This Row],[tamanho]]=$I$3,$L$3,IF(Tabla1[[#This Row],[tamanho]]=$I$4,$L$4,IF(Tabla1[[#This Row],[tamanho]]=$I$5,$L$5,IF(Tabla1[[#This Row],[tamanho]]=$I$6,$L$6,0))))*IF(C1286="8_1",9,25))</f>
        <v>1.0371994772604352E-6</v>
      </c>
    </row>
    <row r="1287" spans="1:6" ht="12.75" x14ac:dyDescent="0.2">
      <c r="A1287" s="1">
        <v>53</v>
      </c>
      <c r="B1287" s="1">
        <v>3</v>
      </c>
      <c r="C1287" s="1" t="s">
        <v>7</v>
      </c>
      <c r="D1287" s="1" t="s">
        <v>6</v>
      </c>
      <c r="E1287" s="1">
        <v>4.32596659660339</v>
      </c>
      <c r="F1287" s="1">
        <f>Tabla1[[#This Row],[tiempo]]/(IF(Tabla1[[#This Row],[tamanho]]=$I$3,$L$3,IF(Tabla1[[#This Row],[tamanho]]=$I$4,$L$4,IF(Tabla1[[#This Row],[tamanho]]=$I$5,$L$5,IF(Tabla1[[#This Row],[tamanho]]=$I$6,$L$6,0))))*IF(C1287="8_1",9,25))</f>
        <v>4.1872330960485608E-7</v>
      </c>
    </row>
    <row r="1288" spans="1:6" ht="12.75" x14ac:dyDescent="0.2">
      <c r="A1288" s="1">
        <v>53</v>
      </c>
      <c r="B1288" s="1">
        <v>3</v>
      </c>
      <c r="C1288" s="1" t="s">
        <v>8</v>
      </c>
      <c r="D1288" s="1" t="s">
        <v>6</v>
      </c>
      <c r="E1288" s="1">
        <v>4.3186085224151602</v>
      </c>
      <c r="F1288" s="1">
        <f>Tabla1[[#This Row],[tiempo]]/(IF(Tabla1[[#This Row],[tamanho]]=$I$3,$L$3,IF(Tabla1[[#This Row],[tamanho]]=$I$4,$L$4,IF(Tabla1[[#This Row],[tamanho]]=$I$5,$L$5,IF(Tabla1[[#This Row],[tamanho]]=$I$6,$L$6,0))))*IF(C1288="8_1",9,25))</f>
        <v>4.1801109948773855E-7</v>
      </c>
    </row>
    <row r="1289" spans="1:6" ht="12.75" x14ac:dyDescent="0.2">
      <c r="A1289" s="1">
        <v>53</v>
      </c>
      <c r="B1289" s="1">
        <v>3</v>
      </c>
      <c r="C1289" s="1" t="s">
        <v>5</v>
      </c>
      <c r="D1289" s="1" t="s">
        <v>9</v>
      </c>
      <c r="E1289" s="1">
        <v>3.7470817565917902</v>
      </c>
      <c r="F1289" s="1">
        <f>Tabla1[[#This Row],[tiempo]]/(IF(Tabla1[[#This Row],[tamanho]]=$I$3,$L$3,IF(Tabla1[[#This Row],[tamanho]]=$I$4,$L$4,IF(Tabla1[[#This Row],[tamanho]]=$I$5,$L$5,IF(Tabla1[[#This Row],[tamanho]]=$I$6,$L$6,0))))*IF(C1289="8_1",9,25))</f>
        <v>1.0074758499008787E-6</v>
      </c>
    </row>
    <row r="1290" spans="1:6" ht="12.75" x14ac:dyDescent="0.2">
      <c r="A1290" s="1">
        <v>53</v>
      </c>
      <c r="B1290" s="1">
        <v>3</v>
      </c>
      <c r="C1290" s="1" t="s">
        <v>7</v>
      </c>
      <c r="D1290" s="1" t="s">
        <v>9</v>
      </c>
      <c r="E1290" s="1">
        <v>4.2145242691040004</v>
      </c>
      <c r="F1290" s="1">
        <f>Tabla1[[#This Row],[tiempo]]/(IF(Tabla1[[#This Row],[tamanho]]=$I$3,$L$3,IF(Tabla1[[#This Row],[tamanho]]=$I$4,$L$4,IF(Tabla1[[#This Row],[tamanho]]=$I$5,$L$5,IF(Tabla1[[#This Row],[tamanho]]=$I$6,$L$6,0))))*IF(C1290="8_1",9,25))</f>
        <v>4.0793647175981788E-7</v>
      </c>
    </row>
    <row r="1291" spans="1:6" ht="12.75" x14ac:dyDescent="0.2">
      <c r="A1291" s="1">
        <v>53</v>
      </c>
      <c r="B1291" s="1">
        <v>3</v>
      </c>
      <c r="C1291" s="1" t="s">
        <v>8</v>
      </c>
      <c r="D1291" s="1" t="s">
        <v>9</v>
      </c>
      <c r="E1291" s="1">
        <v>4.2793474197387598</v>
      </c>
      <c r="F1291" s="1">
        <f>Tabla1[[#This Row],[tiempo]]/(IF(Tabla1[[#This Row],[tamanho]]=$I$3,$L$3,IF(Tabla1[[#This Row],[tamanho]]=$I$4,$L$4,IF(Tabla1[[#This Row],[tamanho]]=$I$5,$L$5,IF(Tabla1[[#This Row],[tamanho]]=$I$6,$L$6,0))))*IF(C1291="8_1",9,25))</f>
        <v>4.1421089935112484E-7</v>
      </c>
    </row>
    <row r="1292" spans="1:6" ht="12.75" x14ac:dyDescent="0.2">
      <c r="A1292" s="1">
        <v>53</v>
      </c>
      <c r="B1292" s="1">
        <v>4</v>
      </c>
      <c r="C1292" s="1" t="s">
        <v>5</v>
      </c>
      <c r="D1292" s="1" t="s">
        <v>6</v>
      </c>
      <c r="E1292" s="1">
        <v>6.7543556690216002</v>
      </c>
      <c r="F1292" s="1">
        <f>Tabla1[[#This Row],[tiempo]]/(IF(Tabla1[[#This Row],[tamanho]]=$I$3,$L$3,IF(Tabla1[[#This Row],[tamanho]]=$I$4,$L$4,IF(Tabla1[[#This Row],[tamanho]]=$I$5,$L$5,IF(Tabla1[[#This Row],[tamanho]]=$I$6,$L$6,0))))*IF(C1292="8_1",9,25))</f>
        <v>1.0199523013967357E-6</v>
      </c>
    </row>
    <row r="1293" spans="1:6" ht="12.75" x14ac:dyDescent="0.2">
      <c r="A1293" s="1">
        <v>53</v>
      </c>
      <c r="B1293" s="1">
        <v>4</v>
      </c>
      <c r="C1293" s="1" t="s">
        <v>7</v>
      </c>
      <c r="D1293" s="1" t="s">
        <v>6</v>
      </c>
      <c r="E1293" s="1">
        <v>7.6710860729217503</v>
      </c>
      <c r="F1293" s="1">
        <f>Tabla1[[#This Row],[tiempo]]/(IF(Tabla1[[#This Row],[tamanho]]=$I$3,$L$3,IF(Tabla1[[#This Row],[tamanho]]=$I$4,$L$4,IF(Tabla1[[#This Row],[tamanho]]=$I$5,$L$5,IF(Tabla1[[#This Row],[tamanho]]=$I$6,$L$6,0))))*IF(C1293="8_1",9,25))</f>
        <v>4.1701847222268732E-7</v>
      </c>
    </row>
    <row r="1294" spans="1:6" ht="12.75" x14ac:dyDescent="0.2">
      <c r="A1294" s="1">
        <v>53</v>
      </c>
      <c r="B1294" s="1">
        <v>4</v>
      </c>
      <c r="C1294" s="1" t="s">
        <v>8</v>
      </c>
      <c r="D1294" s="1" t="s">
        <v>6</v>
      </c>
      <c r="E1294" s="1">
        <v>7.6540968418121302</v>
      </c>
      <c r="F1294" s="1">
        <f>Tabla1[[#This Row],[tiempo]]/(IF(Tabla1[[#This Row],[tamanho]]=$I$3,$L$3,IF(Tabla1[[#This Row],[tamanho]]=$I$4,$L$4,IF(Tabla1[[#This Row],[tamanho]]=$I$5,$L$5,IF(Tabla1[[#This Row],[tamanho]]=$I$6,$L$6,0))))*IF(C1294="8_1",9,25))</f>
        <v>4.1609489723809936E-7</v>
      </c>
    </row>
    <row r="1295" spans="1:6" ht="12.75" x14ac:dyDescent="0.2">
      <c r="A1295" s="1">
        <v>53</v>
      </c>
      <c r="B1295" s="1">
        <v>4</v>
      </c>
      <c r="C1295" s="1" t="s">
        <v>5</v>
      </c>
      <c r="D1295" s="1" t="s">
        <v>9</v>
      </c>
      <c r="E1295" s="1">
        <v>6.8813512325286803</v>
      </c>
      <c r="F1295" s="1">
        <f>Tabla1[[#This Row],[tiempo]]/(IF(Tabla1[[#This Row],[tamanho]]=$I$3,$L$3,IF(Tabla1[[#This Row],[tamanho]]=$I$4,$L$4,IF(Tabla1[[#This Row],[tamanho]]=$I$5,$L$5,IF(Tabla1[[#This Row],[tamanho]]=$I$6,$L$6,0))))*IF(C1295="8_1",9,25))</f>
        <v>1.0391294699696463E-6</v>
      </c>
    </row>
    <row r="1296" spans="1:6" ht="12.75" x14ac:dyDescent="0.2">
      <c r="A1296" s="1">
        <v>53</v>
      </c>
      <c r="B1296" s="1">
        <v>4</v>
      </c>
      <c r="C1296" s="1" t="s">
        <v>7</v>
      </c>
      <c r="D1296" s="1" t="s">
        <v>9</v>
      </c>
      <c r="E1296" s="1">
        <v>7.6293518543243399</v>
      </c>
      <c r="F1296" s="1">
        <f>Tabla1[[#This Row],[tiempo]]/(IF(Tabla1[[#This Row],[tamanho]]=$I$3,$L$3,IF(Tabla1[[#This Row],[tamanho]]=$I$4,$L$4,IF(Tabla1[[#This Row],[tamanho]]=$I$5,$L$5,IF(Tabla1[[#This Row],[tamanho]]=$I$6,$L$6,0))))*IF(C1296="8_1",9,25))</f>
        <v>4.1474970090224367E-7</v>
      </c>
    </row>
    <row r="1297" spans="1:6" ht="12.75" x14ac:dyDescent="0.2">
      <c r="A1297" s="1">
        <v>53</v>
      </c>
      <c r="B1297" s="1">
        <v>4</v>
      </c>
      <c r="C1297" s="1" t="s">
        <v>8</v>
      </c>
      <c r="D1297" s="1" t="s">
        <v>9</v>
      </c>
      <c r="E1297" s="1">
        <v>7.7025127410888601</v>
      </c>
      <c r="F1297" s="1">
        <f>Tabla1[[#This Row],[tiempo]]/(IF(Tabla1[[#This Row],[tamanho]]=$I$3,$L$3,IF(Tabla1[[#This Row],[tamanho]]=$I$4,$L$4,IF(Tabla1[[#This Row],[tamanho]]=$I$5,$L$5,IF(Tabla1[[#This Row],[tamanho]]=$I$6,$L$6,0))))*IF(C1297="8_1",9,25))</f>
        <v>4.1872690060186542E-7</v>
      </c>
    </row>
    <row r="1298" spans="1:6" ht="12.75" x14ac:dyDescent="0.2">
      <c r="A1298" s="1">
        <v>54</v>
      </c>
      <c r="B1298" s="1">
        <v>1</v>
      </c>
      <c r="C1298" s="1" t="s">
        <v>5</v>
      </c>
      <c r="D1298" s="1" t="s">
        <v>6</v>
      </c>
      <c r="E1298" s="1">
        <v>0.40541934967040999</v>
      </c>
      <c r="F1298" s="1">
        <f>Tabla1[[#This Row],[tiempo]]/(IF(Tabla1[[#This Row],[tamanho]]=$I$3,$L$3,IF(Tabla1[[#This Row],[tamanho]]=$I$4,$L$4,IF(Tabla1[[#This Row],[tamanho]]=$I$5,$L$5,IF(Tabla1[[#This Row],[tamanho]]=$I$6,$L$6,0))))*IF(C1298="8_1",9,25))</f>
        <v>1.6708057715894564E-6</v>
      </c>
    </row>
    <row r="1299" spans="1:6" ht="12.75" x14ac:dyDescent="0.2">
      <c r="A1299" s="1">
        <v>54</v>
      </c>
      <c r="B1299" s="1">
        <v>1</v>
      </c>
      <c r="C1299" s="1" t="s">
        <v>7</v>
      </c>
      <c r="D1299" s="1" t="s">
        <v>6</v>
      </c>
      <c r="E1299" s="1">
        <v>0.45510244369506803</v>
      </c>
      <c r="F1299" s="1">
        <f>Tabla1[[#This Row],[tiempo]]/(IF(Tabla1[[#This Row],[tamanho]]=$I$3,$L$3,IF(Tabla1[[#This Row],[tamanho]]=$I$4,$L$4,IF(Tabla1[[#This Row],[tamanho]]=$I$5,$L$5,IF(Tabla1[[#This Row],[tamanho]]=$I$6,$L$6,0))))*IF(C1299="8_1",9,25))</f>
        <v>6.7520113303670934E-7</v>
      </c>
    </row>
    <row r="1300" spans="1:6" ht="12.75" x14ac:dyDescent="0.2">
      <c r="A1300" s="1">
        <v>54</v>
      </c>
      <c r="B1300" s="1">
        <v>1</v>
      </c>
      <c r="C1300" s="1" t="s">
        <v>8</v>
      </c>
      <c r="D1300" s="1" t="s">
        <v>6</v>
      </c>
      <c r="E1300" s="1">
        <v>0.457372426986694</v>
      </c>
      <c r="F1300" s="1">
        <f>Tabla1[[#This Row],[tiempo]]/(IF(Tabla1[[#This Row],[tamanho]]=$I$3,$L$3,IF(Tabla1[[#This Row],[tamanho]]=$I$4,$L$4,IF(Tabla1[[#This Row],[tamanho]]=$I$5,$L$5,IF(Tabla1[[#This Row],[tamanho]]=$I$6,$L$6,0))))*IF(C1300="8_1",9,25))</f>
        <v>6.7856893585059008E-7</v>
      </c>
    </row>
    <row r="1301" spans="1:6" ht="12.75" x14ac:dyDescent="0.2">
      <c r="A1301" s="1">
        <v>54</v>
      </c>
      <c r="B1301" s="1">
        <v>1</v>
      </c>
      <c r="C1301" s="1" t="s">
        <v>5</v>
      </c>
      <c r="D1301" s="1" t="s">
        <v>9</v>
      </c>
      <c r="E1301" s="1">
        <v>0.407840967178344</v>
      </c>
      <c r="F1301" s="1">
        <f>Tabla1[[#This Row],[tiempo]]/(IF(Tabla1[[#This Row],[tamanho]]=$I$3,$L$3,IF(Tabla1[[#This Row],[tamanho]]=$I$4,$L$4,IF(Tabla1[[#This Row],[tamanho]]=$I$5,$L$5,IF(Tabla1[[#This Row],[tamanho]]=$I$6,$L$6,0))))*IF(C1301="8_1",9,25))</f>
        <v>1.6807856911767368E-6</v>
      </c>
    </row>
    <row r="1302" spans="1:6" ht="12.75" x14ac:dyDescent="0.2">
      <c r="A1302" s="1">
        <v>54</v>
      </c>
      <c r="B1302" s="1">
        <v>1</v>
      </c>
      <c r="C1302" s="1" t="s">
        <v>7</v>
      </c>
      <c r="D1302" s="1" t="s">
        <v>9</v>
      </c>
      <c r="E1302" s="1">
        <v>0.45701932907104398</v>
      </c>
      <c r="F1302" s="1">
        <f>Tabla1[[#This Row],[tiempo]]/(IF(Tabla1[[#This Row],[tamanho]]=$I$3,$L$3,IF(Tabla1[[#This Row],[tamanho]]=$I$4,$L$4,IF(Tabla1[[#This Row],[tamanho]]=$I$5,$L$5,IF(Tabla1[[#This Row],[tamanho]]=$I$6,$L$6,0))))*IF(C1302="8_1",9,25))</f>
        <v>6.7804507113392525E-7</v>
      </c>
    </row>
    <row r="1303" spans="1:6" ht="12.75" x14ac:dyDescent="0.2">
      <c r="A1303" s="1">
        <v>54</v>
      </c>
      <c r="B1303" s="1">
        <v>1</v>
      </c>
      <c r="C1303" s="1" t="s">
        <v>8</v>
      </c>
      <c r="D1303" s="1" t="s">
        <v>9</v>
      </c>
      <c r="E1303" s="1">
        <v>0.46420383453369102</v>
      </c>
      <c r="F1303" s="1">
        <f>Tabla1[[#This Row],[tiempo]]/(IF(Tabla1[[#This Row],[tamanho]]=$I$3,$L$3,IF(Tabla1[[#This Row],[tamanho]]=$I$4,$L$4,IF(Tabla1[[#This Row],[tamanho]]=$I$5,$L$5,IF(Tabla1[[#This Row],[tamanho]]=$I$6,$L$6,0))))*IF(C1303="8_1",9,25))</f>
        <v>6.8870417942018624E-7</v>
      </c>
    </row>
    <row r="1304" spans="1:6" ht="12.75" x14ac:dyDescent="0.2">
      <c r="A1304" s="1">
        <v>54</v>
      </c>
      <c r="B1304" s="1">
        <v>2</v>
      </c>
      <c r="C1304" s="1" t="s">
        <v>5</v>
      </c>
      <c r="D1304" s="1" t="s">
        <v>6</v>
      </c>
      <c r="E1304" s="1">
        <v>1.70353126525878</v>
      </c>
      <c r="F1304" s="1">
        <f>Tabla1[[#This Row],[tiempo]]/(IF(Tabla1[[#This Row],[tamanho]]=$I$3,$L$3,IF(Tabla1[[#This Row],[tamanho]]=$I$4,$L$4,IF(Tabla1[[#This Row],[tamanho]]=$I$5,$L$5,IF(Tabla1[[#This Row],[tamanho]]=$I$6,$L$6,0))))*IF(C1304="8_1",9,25))</f>
        <v>1.0313818054261615E-6</v>
      </c>
    </row>
    <row r="1305" spans="1:6" ht="12.75" x14ac:dyDescent="0.2">
      <c r="A1305" s="1">
        <v>54</v>
      </c>
      <c r="B1305" s="1">
        <v>2</v>
      </c>
      <c r="C1305" s="1" t="s">
        <v>7</v>
      </c>
      <c r="D1305" s="1" t="s">
        <v>6</v>
      </c>
      <c r="E1305" s="1">
        <v>1.9019129276275599</v>
      </c>
      <c r="F1305" s="1">
        <f>Tabla1[[#This Row],[tiempo]]/(IF(Tabla1[[#This Row],[tamanho]]=$I$3,$L$3,IF(Tabla1[[#This Row],[tamanho]]=$I$4,$L$4,IF(Tabla1[[#This Row],[tamanho]]=$I$5,$L$5,IF(Tabla1[[#This Row],[tamanho]]=$I$6,$L$6,0))))*IF(C1305="8_1",9,25))</f>
        <v>4.1453622511253364E-7</v>
      </c>
    </row>
    <row r="1306" spans="1:6" ht="12.75" x14ac:dyDescent="0.2">
      <c r="A1306" s="1">
        <v>54</v>
      </c>
      <c r="B1306" s="1">
        <v>2</v>
      </c>
      <c r="C1306" s="1" t="s">
        <v>8</v>
      </c>
      <c r="D1306" s="1" t="s">
        <v>6</v>
      </c>
      <c r="E1306" s="1">
        <v>1.91563749313354</v>
      </c>
      <c r="F1306" s="1">
        <f>Tabla1[[#This Row],[tiempo]]/(IF(Tabla1[[#This Row],[tamanho]]=$I$3,$L$3,IF(Tabla1[[#This Row],[tamanho]]=$I$4,$L$4,IF(Tabla1[[#This Row],[tamanho]]=$I$5,$L$5,IF(Tabla1[[#This Row],[tamanho]]=$I$6,$L$6,0))))*IF(C1306="8_1",9,25))</f>
        <v>4.1752759737438345E-7</v>
      </c>
    </row>
    <row r="1307" spans="1:6" ht="12.75" x14ac:dyDescent="0.2">
      <c r="A1307" s="1">
        <v>54</v>
      </c>
      <c r="B1307" s="1">
        <v>2</v>
      </c>
      <c r="C1307" s="1" t="s">
        <v>5</v>
      </c>
      <c r="D1307" s="1" t="s">
        <v>9</v>
      </c>
      <c r="E1307" s="1">
        <v>1.70229148864746</v>
      </c>
      <c r="F1307" s="1">
        <f>Tabla1[[#This Row],[tiempo]]/(IF(Tabla1[[#This Row],[tamanho]]=$I$3,$L$3,IF(Tabla1[[#This Row],[tamanho]]=$I$4,$L$4,IF(Tabla1[[#This Row],[tamanho]]=$I$5,$L$5,IF(Tabla1[[#This Row],[tamanho]]=$I$6,$L$6,0))))*IF(C1307="8_1",9,25))</f>
        <v>1.0306311981048957E-6</v>
      </c>
    </row>
    <row r="1308" spans="1:6" ht="12.75" x14ac:dyDescent="0.2">
      <c r="A1308" s="1">
        <v>54</v>
      </c>
      <c r="B1308" s="1">
        <v>2</v>
      </c>
      <c r="C1308" s="1" t="s">
        <v>7</v>
      </c>
      <c r="D1308" s="1" t="s">
        <v>9</v>
      </c>
      <c r="E1308" s="1">
        <v>1.91104531288146</v>
      </c>
      <c r="F1308" s="1">
        <f>Tabla1[[#This Row],[tiempo]]/(IF(Tabla1[[#This Row],[tamanho]]=$I$3,$L$3,IF(Tabla1[[#This Row],[tamanho]]=$I$4,$L$4,IF(Tabla1[[#This Row],[tamanho]]=$I$5,$L$5,IF(Tabla1[[#This Row],[tamanho]]=$I$6,$L$6,0))))*IF(C1308="8_1",9,25))</f>
        <v>4.165266971548828E-7</v>
      </c>
    </row>
    <row r="1309" spans="1:6" ht="12.75" x14ac:dyDescent="0.2">
      <c r="A1309" s="1">
        <v>54</v>
      </c>
      <c r="B1309" s="1">
        <v>2</v>
      </c>
      <c r="C1309" s="1" t="s">
        <v>8</v>
      </c>
      <c r="D1309" s="1" t="s">
        <v>9</v>
      </c>
      <c r="E1309" s="1">
        <v>1.94740939140319</v>
      </c>
      <c r="F1309" s="1">
        <f>Tabla1[[#This Row],[tiempo]]/(IF(Tabla1[[#This Row],[tamanho]]=$I$3,$L$3,IF(Tabla1[[#This Row],[tamanho]]=$I$4,$L$4,IF(Tabla1[[#This Row],[tamanho]]=$I$5,$L$5,IF(Tabla1[[#This Row],[tamanho]]=$I$6,$L$6,0))))*IF(C1309="8_1",9,25))</f>
        <v>4.2445252152944933E-7</v>
      </c>
    </row>
    <row r="1310" spans="1:6" ht="12.75" x14ac:dyDescent="0.2">
      <c r="A1310" s="1">
        <v>54</v>
      </c>
      <c r="B1310" s="1">
        <v>3</v>
      </c>
      <c r="C1310" s="1" t="s">
        <v>5</v>
      </c>
      <c r="D1310" s="1" t="s">
        <v>6</v>
      </c>
      <c r="E1310" s="1">
        <v>3.9008765220642001</v>
      </c>
      <c r="F1310" s="1">
        <f>Tabla1[[#This Row],[tiempo]]/(IF(Tabla1[[#This Row],[tamanho]]=$I$3,$L$3,IF(Tabla1[[#This Row],[tamanho]]=$I$4,$L$4,IF(Tabla1[[#This Row],[tamanho]]=$I$5,$L$5,IF(Tabla1[[#This Row],[tamanho]]=$I$6,$L$6,0))))*IF(C1310="8_1",9,25))</f>
        <v>1.0488265655029728E-6</v>
      </c>
    </row>
    <row r="1311" spans="1:6" ht="12.75" x14ac:dyDescent="0.2">
      <c r="A1311" s="1">
        <v>54</v>
      </c>
      <c r="B1311" s="1">
        <v>3</v>
      </c>
      <c r="C1311" s="1" t="s">
        <v>7</v>
      </c>
      <c r="D1311" s="1" t="s">
        <v>6</v>
      </c>
      <c r="E1311" s="1">
        <v>4.2351777553558296</v>
      </c>
      <c r="F1311" s="1">
        <f>Tabla1[[#This Row],[tiempo]]/(IF(Tabla1[[#This Row],[tamanho]]=$I$3,$L$3,IF(Tabla1[[#This Row],[tamanho]]=$I$4,$L$4,IF(Tabla1[[#This Row],[tamanho]]=$I$5,$L$5,IF(Tabla1[[#This Row],[tamanho]]=$I$6,$L$6,0))))*IF(C1311="8_1",9,25))</f>
        <v>4.0993558477308861E-7</v>
      </c>
    </row>
    <row r="1312" spans="1:6" ht="12.75" x14ac:dyDescent="0.2">
      <c r="A1312" s="1">
        <v>54</v>
      </c>
      <c r="B1312" s="1">
        <v>3</v>
      </c>
      <c r="C1312" s="1" t="s">
        <v>8</v>
      </c>
      <c r="D1312" s="1" t="s">
        <v>6</v>
      </c>
      <c r="E1312" s="1">
        <v>4.2668521404266304</v>
      </c>
      <c r="F1312" s="1">
        <f>Tabla1[[#This Row],[tiempo]]/(IF(Tabla1[[#This Row],[tamanho]]=$I$3,$L$3,IF(Tabla1[[#This Row],[tamanho]]=$I$4,$L$4,IF(Tabla1[[#This Row],[tamanho]]=$I$5,$L$5,IF(Tabla1[[#This Row],[tamanho]]=$I$6,$L$6,0))))*IF(C1312="8_1",9,25))</f>
        <v>4.1300144370897542E-7</v>
      </c>
    </row>
    <row r="1313" spans="1:6" ht="12.75" x14ac:dyDescent="0.2">
      <c r="A1313" s="1">
        <v>54</v>
      </c>
      <c r="B1313" s="1">
        <v>3</v>
      </c>
      <c r="C1313" s="1" t="s">
        <v>5</v>
      </c>
      <c r="D1313" s="1" t="s">
        <v>9</v>
      </c>
      <c r="E1313" s="1">
        <v>3.8205034732818599</v>
      </c>
      <c r="F1313" s="1">
        <f>Tabla1[[#This Row],[tiempo]]/(IF(Tabla1[[#This Row],[tamanho]]=$I$3,$L$3,IF(Tabla1[[#This Row],[tamanho]]=$I$4,$L$4,IF(Tabla1[[#This Row],[tamanho]]=$I$5,$L$5,IF(Tabla1[[#This Row],[tamanho]]=$I$6,$L$6,0))))*IF(C1313="8_1",9,25))</f>
        <v>1.0272167072476343E-6</v>
      </c>
    </row>
    <row r="1314" spans="1:6" ht="12.75" x14ac:dyDescent="0.2">
      <c r="A1314" s="1">
        <v>54</v>
      </c>
      <c r="B1314" s="1">
        <v>3</v>
      </c>
      <c r="C1314" s="1" t="s">
        <v>7</v>
      </c>
      <c r="D1314" s="1" t="s">
        <v>9</v>
      </c>
      <c r="E1314" s="1">
        <v>4.2862455844879097</v>
      </c>
      <c r="F1314" s="1">
        <f>Tabla1[[#This Row],[tiempo]]/(IF(Tabla1[[#This Row],[tamanho]]=$I$3,$L$3,IF(Tabla1[[#This Row],[tamanho]]=$I$4,$L$4,IF(Tabla1[[#This Row],[tamanho]]=$I$5,$L$5,IF(Tabla1[[#This Row],[tamanho]]=$I$6,$L$6,0))))*IF(C1314="8_1",9,25))</f>
        <v>4.1487859345126686E-7</v>
      </c>
    </row>
    <row r="1315" spans="1:6" ht="12.75" x14ac:dyDescent="0.2">
      <c r="A1315" s="1">
        <v>54</v>
      </c>
      <c r="B1315" s="1">
        <v>3</v>
      </c>
      <c r="C1315" s="1" t="s">
        <v>8</v>
      </c>
      <c r="D1315" s="1" t="s">
        <v>9</v>
      </c>
      <c r="E1315" s="1">
        <v>4.3435387611389098</v>
      </c>
      <c r="F1315" s="1">
        <f>Tabla1[[#This Row],[tiempo]]/(IF(Tabla1[[#This Row],[tamanho]]=$I$3,$L$3,IF(Tabla1[[#This Row],[tamanho]]=$I$4,$L$4,IF(Tabla1[[#This Row],[tamanho]]=$I$5,$L$5,IF(Tabla1[[#This Row],[tamanho]]=$I$6,$L$6,0))))*IF(C1315="8_1",9,25))</f>
        <v>4.2042417222756133E-7</v>
      </c>
    </row>
    <row r="1316" spans="1:6" ht="12.75" x14ac:dyDescent="0.2">
      <c r="A1316" s="1">
        <v>54</v>
      </c>
      <c r="B1316" s="1">
        <v>4</v>
      </c>
      <c r="C1316" s="1" t="s">
        <v>5</v>
      </c>
      <c r="D1316" s="1" t="s">
        <v>6</v>
      </c>
      <c r="E1316" s="1">
        <v>6.7936720848083496</v>
      </c>
      <c r="F1316" s="1">
        <f>Tabla1[[#This Row],[tiempo]]/(IF(Tabla1[[#This Row],[tamanho]]=$I$3,$L$3,IF(Tabla1[[#This Row],[tamanho]]=$I$4,$L$4,IF(Tabla1[[#This Row],[tamanho]]=$I$5,$L$5,IF(Tabla1[[#This Row],[tamanho]]=$I$6,$L$6,0))))*IF(C1316="8_1",9,25))</f>
        <v>1.0258893397656633E-6</v>
      </c>
    </row>
    <row r="1317" spans="1:6" ht="12.75" x14ac:dyDescent="0.2">
      <c r="A1317" s="1">
        <v>54</v>
      </c>
      <c r="B1317" s="1">
        <v>4</v>
      </c>
      <c r="C1317" s="1" t="s">
        <v>7</v>
      </c>
      <c r="D1317" s="1" t="s">
        <v>6</v>
      </c>
      <c r="E1317" s="1">
        <v>7.6144356727600098</v>
      </c>
      <c r="F1317" s="1">
        <f>Tabla1[[#This Row],[tiempo]]/(IF(Tabla1[[#This Row],[tamanho]]=$I$3,$L$3,IF(Tabla1[[#This Row],[tamanho]]=$I$4,$L$4,IF(Tabla1[[#This Row],[tamanho]]=$I$5,$L$5,IF(Tabla1[[#This Row],[tamanho]]=$I$6,$L$6,0))))*IF(C1317="8_1",9,25))</f>
        <v>4.1393882181834047E-7</v>
      </c>
    </row>
    <row r="1318" spans="1:6" ht="12.75" x14ac:dyDescent="0.2">
      <c r="A1318" s="1">
        <v>54</v>
      </c>
      <c r="B1318" s="1">
        <v>4</v>
      </c>
      <c r="C1318" s="1" t="s">
        <v>8</v>
      </c>
      <c r="D1318" s="1" t="s">
        <v>6</v>
      </c>
      <c r="E1318" s="1">
        <v>7.6268756389617902</v>
      </c>
      <c r="F1318" s="1">
        <f>Tabla1[[#This Row],[tiempo]]/(IF(Tabla1[[#This Row],[tamanho]]=$I$3,$L$3,IF(Tabla1[[#This Row],[tamanho]]=$I$4,$L$4,IF(Tabla1[[#This Row],[tamanho]]=$I$5,$L$5,IF(Tabla1[[#This Row],[tamanho]]=$I$6,$L$6,0))))*IF(C1318="8_1",9,25))</f>
        <v>4.1461508794945332E-7</v>
      </c>
    </row>
    <row r="1319" spans="1:6" ht="12.75" x14ac:dyDescent="0.2">
      <c r="A1319" s="1">
        <v>54</v>
      </c>
      <c r="B1319" s="1">
        <v>4</v>
      </c>
      <c r="C1319" s="1" t="s">
        <v>5</v>
      </c>
      <c r="D1319" s="1" t="s">
        <v>9</v>
      </c>
      <c r="E1319" s="1">
        <v>6.83976078033447</v>
      </c>
      <c r="F1319" s="1">
        <f>Tabla1[[#This Row],[tiempo]]/(IF(Tabla1[[#This Row],[tamanho]]=$I$3,$L$3,IF(Tabla1[[#This Row],[tamanho]]=$I$4,$L$4,IF(Tabla1[[#This Row],[tamanho]]=$I$5,$L$5,IF(Tabla1[[#This Row],[tamanho]]=$I$6,$L$6,0))))*IF(C1319="8_1",9,25))</f>
        <v>1.0328490370889537E-6</v>
      </c>
    </row>
    <row r="1320" spans="1:6" ht="12.75" x14ac:dyDescent="0.2">
      <c r="A1320" s="1">
        <v>54</v>
      </c>
      <c r="B1320" s="1">
        <v>4</v>
      </c>
      <c r="C1320" s="1" t="s">
        <v>7</v>
      </c>
      <c r="D1320" s="1" t="s">
        <v>9</v>
      </c>
      <c r="E1320" s="1">
        <v>7.6366395950317303</v>
      </c>
      <c r="F1320" s="1">
        <f>Tabla1[[#This Row],[tiempo]]/(IF(Tabla1[[#This Row],[tamanho]]=$I$3,$L$3,IF(Tabla1[[#This Row],[tamanho]]=$I$4,$L$4,IF(Tabla1[[#This Row],[tamanho]]=$I$5,$L$5,IF(Tabla1[[#This Row],[tamanho]]=$I$6,$L$6,0))))*IF(C1320="8_1",9,25))</f>
        <v>4.1514587980922774E-7</v>
      </c>
    </row>
    <row r="1321" spans="1:6" ht="12.75" x14ac:dyDescent="0.2">
      <c r="A1321" s="1">
        <v>54</v>
      </c>
      <c r="B1321" s="1">
        <v>4</v>
      </c>
      <c r="C1321" s="1" t="s">
        <v>8</v>
      </c>
      <c r="D1321" s="1" t="s">
        <v>9</v>
      </c>
      <c r="E1321" s="1">
        <v>7.7356266975402797</v>
      </c>
      <c r="F1321" s="1">
        <f>Tabla1[[#This Row],[tiempo]]/(IF(Tabla1[[#This Row],[tamanho]]=$I$3,$L$3,IF(Tabla1[[#This Row],[tamanho]]=$I$4,$L$4,IF(Tabla1[[#This Row],[tamanho]]=$I$5,$L$5,IF(Tabla1[[#This Row],[tamanho]]=$I$6,$L$6,0))))*IF(C1321="8_1",9,25))</f>
        <v>4.205270539826709E-7</v>
      </c>
    </row>
    <row r="1322" spans="1:6" ht="12.75" x14ac:dyDescent="0.2">
      <c r="A1322" s="1">
        <v>55</v>
      </c>
      <c r="B1322" s="1">
        <v>1</v>
      </c>
      <c r="C1322" s="1" t="s">
        <v>5</v>
      </c>
      <c r="D1322" s="1" t="s">
        <v>6</v>
      </c>
      <c r="E1322" s="1">
        <v>0.40702509880065901</v>
      </c>
      <c r="F1322" s="1">
        <f>Tabla1[[#This Row],[tiempo]]/(IF(Tabla1[[#This Row],[tamanho]]=$I$3,$L$3,IF(Tabla1[[#This Row],[tamanho]]=$I$4,$L$4,IF(Tabla1[[#This Row],[tamanho]]=$I$5,$L$5,IF(Tabla1[[#This Row],[tamanho]]=$I$6,$L$6,0))))*IF(C1322="8_1",9,25))</f>
        <v>1.6774233514280258E-6</v>
      </c>
    </row>
    <row r="1323" spans="1:6" ht="12.75" x14ac:dyDescent="0.2">
      <c r="A1323" s="1">
        <v>55</v>
      </c>
      <c r="B1323" s="1">
        <v>1</v>
      </c>
      <c r="C1323" s="1" t="s">
        <v>7</v>
      </c>
      <c r="D1323" s="1" t="s">
        <v>6</v>
      </c>
      <c r="E1323" s="1">
        <v>0.45607900619506803</v>
      </c>
      <c r="F1323" s="1">
        <f>Tabla1[[#This Row],[tiempo]]/(IF(Tabla1[[#This Row],[tamanho]]=$I$3,$L$3,IF(Tabla1[[#This Row],[tamanho]]=$I$4,$L$4,IF(Tabla1[[#This Row],[tamanho]]=$I$5,$L$5,IF(Tabla1[[#This Row],[tamanho]]=$I$6,$L$6,0))))*IF(C1323="8_1",9,25))</f>
        <v>6.766499850822566E-7</v>
      </c>
    </row>
    <row r="1324" spans="1:6" ht="12.75" x14ac:dyDescent="0.2">
      <c r="A1324" s="1">
        <v>55</v>
      </c>
      <c r="B1324" s="1">
        <v>1</v>
      </c>
      <c r="C1324" s="1" t="s">
        <v>8</v>
      </c>
      <c r="D1324" s="1" t="s">
        <v>6</v>
      </c>
      <c r="E1324" s="1">
        <v>0.45628380775451599</v>
      </c>
      <c r="F1324" s="1">
        <f>Tabla1[[#This Row],[tiempo]]/(IF(Tabla1[[#This Row],[tamanho]]=$I$3,$L$3,IF(Tabla1[[#This Row],[tamanho]]=$I$4,$L$4,IF(Tabla1[[#This Row],[tamanho]]=$I$5,$L$5,IF(Tabla1[[#This Row],[tamanho]]=$I$6,$L$6,0))))*IF(C1324="8_1",9,25))</f>
        <v>6.7695383369239424E-7</v>
      </c>
    </row>
    <row r="1325" spans="1:6" ht="12.75" x14ac:dyDescent="0.2">
      <c r="A1325" s="1">
        <v>55</v>
      </c>
      <c r="B1325" s="1">
        <v>1</v>
      </c>
      <c r="C1325" s="1" t="s">
        <v>5</v>
      </c>
      <c r="D1325" s="1" t="s">
        <v>9</v>
      </c>
      <c r="E1325" s="1">
        <v>0.40331172943115201</v>
      </c>
      <c r="F1325" s="1">
        <f>Tabla1[[#This Row],[tiempo]]/(IF(Tabla1[[#This Row],[tamanho]]=$I$3,$L$3,IF(Tabla1[[#This Row],[tamanho]]=$I$4,$L$4,IF(Tabla1[[#This Row],[tamanho]]=$I$5,$L$5,IF(Tabla1[[#This Row],[tamanho]]=$I$6,$L$6,0))))*IF(C1325="8_1",9,25))</f>
        <v>1.6621198909995591E-6</v>
      </c>
    </row>
    <row r="1326" spans="1:6" ht="12.75" x14ac:dyDescent="0.2">
      <c r="A1326" s="1">
        <v>55</v>
      </c>
      <c r="B1326" s="1">
        <v>1</v>
      </c>
      <c r="C1326" s="1" t="s">
        <v>7</v>
      </c>
      <c r="D1326" s="1" t="s">
        <v>9</v>
      </c>
      <c r="E1326" s="1">
        <v>0.45168828964233398</v>
      </c>
      <c r="F1326" s="1">
        <f>Tabla1[[#This Row],[tiempo]]/(IF(Tabla1[[#This Row],[tamanho]]=$I$3,$L$3,IF(Tabla1[[#This Row],[tamanho]]=$I$4,$L$4,IF(Tabla1[[#This Row],[tamanho]]=$I$5,$L$5,IF(Tabla1[[#This Row],[tamanho]]=$I$6,$L$6,0))))*IF(C1326="8_1",9,25))</f>
        <v>6.7013581045559736E-7</v>
      </c>
    </row>
    <row r="1327" spans="1:6" ht="12.75" x14ac:dyDescent="0.2">
      <c r="A1327" s="1">
        <v>55</v>
      </c>
      <c r="B1327" s="1">
        <v>1</v>
      </c>
      <c r="C1327" s="1" t="s">
        <v>8</v>
      </c>
      <c r="D1327" s="1" t="s">
        <v>9</v>
      </c>
      <c r="E1327" s="1">
        <v>0.45934891700744601</v>
      </c>
      <c r="F1327" s="1">
        <f>Tabla1[[#This Row],[tiempo]]/(IF(Tabla1[[#This Row],[tamanho]]=$I$3,$L$3,IF(Tabla1[[#This Row],[tamanho]]=$I$4,$L$4,IF(Tabla1[[#This Row],[tamanho]]=$I$5,$L$5,IF(Tabla1[[#This Row],[tamanho]]=$I$6,$L$6,0))))*IF(C1327="8_1",9,25))</f>
        <v>6.8150130485879011E-7</v>
      </c>
    </row>
    <row r="1328" spans="1:6" ht="12.75" x14ac:dyDescent="0.2">
      <c r="A1328" s="1">
        <v>55</v>
      </c>
      <c r="B1328" s="1">
        <v>2</v>
      </c>
      <c r="C1328" s="1" t="s">
        <v>5</v>
      </c>
      <c r="D1328" s="1" t="s">
        <v>6</v>
      </c>
      <c r="E1328" s="1">
        <v>1.6847448348998999</v>
      </c>
      <c r="F1328" s="1">
        <f>Tabla1[[#This Row],[tiempo]]/(IF(Tabla1[[#This Row],[tamanho]]=$I$3,$L$3,IF(Tabla1[[#This Row],[tamanho]]=$I$4,$L$4,IF(Tabla1[[#This Row],[tamanho]]=$I$5,$L$5,IF(Tabla1[[#This Row],[tamanho]]=$I$6,$L$6,0))))*IF(C1328="8_1",9,25))</f>
        <v>1.0200077949479263E-6</v>
      </c>
    </row>
    <row r="1329" spans="1:6" ht="12.75" x14ac:dyDescent="0.2">
      <c r="A1329" s="1">
        <v>55</v>
      </c>
      <c r="B1329" s="1">
        <v>2</v>
      </c>
      <c r="C1329" s="1" t="s">
        <v>7</v>
      </c>
      <c r="D1329" s="1" t="s">
        <v>6</v>
      </c>
      <c r="E1329" s="1">
        <v>1.8615794181823699</v>
      </c>
      <c r="F1329" s="1">
        <f>Tabla1[[#This Row],[tiempo]]/(IF(Tabla1[[#This Row],[tamanho]]=$I$3,$L$3,IF(Tabla1[[#This Row],[tamanho]]=$I$4,$L$4,IF(Tabla1[[#This Row],[tamanho]]=$I$5,$L$5,IF(Tabla1[[#This Row],[tamanho]]=$I$6,$L$6,0))))*IF(C1329="8_1",9,25))</f>
        <v>4.0574523341776354E-7</v>
      </c>
    </row>
    <row r="1330" spans="1:6" ht="12.75" x14ac:dyDescent="0.2">
      <c r="A1330" s="1">
        <v>55</v>
      </c>
      <c r="B1330" s="1">
        <v>2</v>
      </c>
      <c r="C1330" s="1" t="s">
        <v>8</v>
      </c>
      <c r="D1330" s="1" t="s">
        <v>6</v>
      </c>
      <c r="E1330" s="1">
        <v>1.8831994533538801</v>
      </c>
      <c r="F1330" s="1">
        <f>Tabla1[[#This Row],[tiempo]]/(IF(Tabla1[[#This Row],[tamanho]]=$I$3,$L$3,IF(Tabla1[[#This Row],[tamanho]]=$I$4,$L$4,IF(Tabla1[[#This Row],[tamanho]]=$I$5,$L$5,IF(Tabla1[[#This Row],[tamanho]]=$I$6,$L$6,0))))*IF(C1330="8_1",9,25))</f>
        <v>4.1045748266777389E-7</v>
      </c>
    </row>
    <row r="1331" spans="1:6" ht="12.75" x14ac:dyDescent="0.2">
      <c r="A1331" s="1">
        <v>55</v>
      </c>
      <c r="B1331" s="1">
        <v>2</v>
      </c>
      <c r="C1331" s="1" t="s">
        <v>5</v>
      </c>
      <c r="D1331" s="1" t="s">
        <v>9</v>
      </c>
      <c r="E1331" s="1">
        <v>1.67488670349121</v>
      </c>
      <c r="F1331" s="1">
        <f>Tabla1[[#This Row],[tiempo]]/(IF(Tabla1[[#This Row],[tamanho]]=$I$3,$L$3,IF(Tabla1[[#This Row],[tamanho]]=$I$4,$L$4,IF(Tabla1[[#This Row],[tamanho]]=$I$5,$L$5,IF(Tabla1[[#This Row],[tamanho]]=$I$6,$L$6,0))))*IF(C1331="8_1",9,25))</f>
        <v>1.0140393119633311E-6</v>
      </c>
    </row>
    <row r="1332" spans="1:6" ht="12.75" x14ac:dyDescent="0.2">
      <c r="A1332" s="1">
        <v>55</v>
      </c>
      <c r="B1332" s="1">
        <v>2</v>
      </c>
      <c r="C1332" s="1" t="s">
        <v>7</v>
      </c>
      <c r="D1332" s="1" t="s">
        <v>9</v>
      </c>
      <c r="E1332" s="1">
        <v>1.8733117580413801</v>
      </c>
      <c r="F1332" s="1">
        <f>Tabla1[[#This Row],[tiempo]]/(IF(Tabla1[[#This Row],[tamanho]]=$I$3,$L$3,IF(Tabla1[[#This Row],[tamanho]]=$I$4,$L$4,IF(Tabla1[[#This Row],[tamanho]]=$I$5,$L$5,IF(Tabla1[[#This Row],[tamanho]]=$I$6,$L$6,0))))*IF(C1332="8_1",9,25))</f>
        <v>4.083023851181613E-7</v>
      </c>
    </row>
    <row r="1333" spans="1:6" ht="12.75" x14ac:dyDescent="0.2">
      <c r="A1333" s="1">
        <v>55</v>
      </c>
      <c r="B1333" s="1">
        <v>2</v>
      </c>
      <c r="C1333" s="1" t="s">
        <v>8</v>
      </c>
      <c r="D1333" s="1" t="s">
        <v>9</v>
      </c>
      <c r="E1333" s="1">
        <v>1.89868783950805</v>
      </c>
      <c r="F1333" s="1">
        <f>Tabla1[[#This Row],[tiempo]]/(IF(Tabla1[[#This Row],[tamanho]]=$I$3,$L$3,IF(Tabla1[[#This Row],[tamanho]]=$I$4,$L$4,IF(Tabla1[[#This Row],[tamanho]]=$I$5,$L$5,IF(Tabla1[[#This Row],[tamanho]]=$I$6,$L$6,0))))*IF(C1333="8_1",9,25))</f>
        <v>4.1383329290396793E-7</v>
      </c>
    </row>
    <row r="1334" spans="1:6" ht="12.75" x14ac:dyDescent="0.2">
      <c r="A1334" s="1">
        <v>55</v>
      </c>
      <c r="B1334" s="1">
        <v>3</v>
      </c>
      <c r="C1334" s="1" t="s">
        <v>5</v>
      </c>
      <c r="D1334" s="1" t="s">
        <v>6</v>
      </c>
      <c r="E1334" s="1">
        <v>3.7580685615539502</v>
      </c>
      <c r="F1334" s="1">
        <f>Tabla1[[#This Row],[tiempo]]/(IF(Tabla1[[#This Row],[tamanho]]=$I$3,$L$3,IF(Tabla1[[#This Row],[tamanho]]=$I$4,$L$4,IF(Tabla1[[#This Row],[tamanho]]=$I$5,$L$5,IF(Tabla1[[#This Row],[tamanho]]=$I$6,$L$6,0))))*IF(C1334="8_1",9,25))</f>
        <v>1.0104298662223733E-6</v>
      </c>
    </row>
    <row r="1335" spans="1:6" ht="12.75" x14ac:dyDescent="0.2">
      <c r="A1335" s="1">
        <v>55</v>
      </c>
      <c r="B1335" s="1">
        <v>3</v>
      </c>
      <c r="C1335" s="1" t="s">
        <v>7</v>
      </c>
      <c r="D1335" s="1" t="s">
        <v>6</v>
      </c>
      <c r="E1335" s="1">
        <v>4.21148204803466</v>
      </c>
      <c r="F1335" s="1">
        <f>Tabla1[[#This Row],[tiempo]]/(IF(Tabla1[[#This Row],[tamanho]]=$I$3,$L$3,IF(Tabla1[[#This Row],[tamanho]]=$I$4,$L$4,IF(Tabla1[[#This Row],[tamanho]]=$I$5,$L$5,IF(Tabla1[[#This Row],[tamanho]]=$I$6,$L$6,0))))*IF(C1335="8_1",9,25))</f>
        <v>4.0764200603839874E-7</v>
      </c>
    </row>
    <row r="1336" spans="1:6" ht="12.75" x14ac:dyDescent="0.2">
      <c r="A1336" s="1">
        <v>55</v>
      </c>
      <c r="B1336" s="1">
        <v>3</v>
      </c>
      <c r="C1336" s="1" t="s">
        <v>8</v>
      </c>
      <c r="D1336" s="1" t="s">
        <v>6</v>
      </c>
      <c r="E1336" s="1">
        <v>4.2321372032165501</v>
      </c>
      <c r="F1336" s="1">
        <f>Tabla1[[#This Row],[tiempo]]/(IF(Tabla1[[#This Row],[tamanho]]=$I$3,$L$3,IF(Tabla1[[#This Row],[tamanho]]=$I$4,$L$4,IF(Tabla1[[#This Row],[tamanho]]=$I$5,$L$5,IF(Tabla1[[#This Row],[tamanho]]=$I$6,$L$6,0))))*IF(C1336="8_1",9,25))</f>
        <v>4.0964128059242643E-7</v>
      </c>
    </row>
    <row r="1337" spans="1:6" ht="12.75" x14ac:dyDescent="0.2">
      <c r="A1337" s="1">
        <v>55</v>
      </c>
      <c r="B1337" s="1">
        <v>3</v>
      </c>
      <c r="C1337" s="1" t="s">
        <v>5</v>
      </c>
      <c r="D1337" s="1" t="s">
        <v>9</v>
      </c>
      <c r="E1337" s="1">
        <v>3.7857077121734601</v>
      </c>
      <c r="F1337" s="1">
        <f>Tabla1[[#This Row],[tiempo]]/(IF(Tabla1[[#This Row],[tamanho]]=$I$3,$L$3,IF(Tabla1[[#This Row],[tamanho]]=$I$4,$L$4,IF(Tabla1[[#This Row],[tamanho]]=$I$5,$L$5,IF(Tabla1[[#This Row],[tamanho]]=$I$6,$L$6,0))))*IF(C1337="8_1",9,25))</f>
        <v>1.0178611897348491E-6</v>
      </c>
    </row>
    <row r="1338" spans="1:6" ht="12.75" x14ac:dyDescent="0.2">
      <c r="A1338" s="1">
        <v>55</v>
      </c>
      <c r="B1338" s="1">
        <v>3</v>
      </c>
      <c r="C1338" s="1" t="s">
        <v>7</v>
      </c>
      <c r="D1338" s="1" t="s">
        <v>9</v>
      </c>
      <c r="E1338" s="1">
        <v>4.2782609462738002</v>
      </c>
      <c r="F1338" s="1">
        <f>Tabla1[[#This Row],[tiempo]]/(IF(Tabla1[[#This Row],[tamanho]]=$I$3,$L$3,IF(Tabla1[[#This Row],[tamanho]]=$I$4,$L$4,IF(Tabla1[[#This Row],[tamanho]]=$I$5,$L$5,IF(Tabla1[[#This Row],[tamanho]]=$I$6,$L$6,0))))*IF(C1338="8_1",9,25))</f>
        <v>4.1410573631879746E-7</v>
      </c>
    </row>
    <row r="1339" spans="1:6" ht="12.75" x14ac:dyDescent="0.2">
      <c r="A1339" s="1">
        <v>55</v>
      </c>
      <c r="B1339" s="1">
        <v>3</v>
      </c>
      <c r="C1339" s="1" t="s">
        <v>8</v>
      </c>
      <c r="D1339" s="1" t="s">
        <v>9</v>
      </c>
      <c r="E1339" s="1">
        <v>4.3474647998809797</v>
      </c>
      <c r="F1339" s="1">
        <f>Tabla1[[#This Row],[tiempo]]/(IF(Tabla1[[#This Row],[tamanho]]=$I$3,$L$3,IF(Tabla1[[#This Row],[tamanho]]=$I$4,$L$4,IF(Tabla1[[#This Row],[tamanho]]=$I$5,$L$5,IF(Tabla1[[#This Row],[tamanho]]=$I$6,$L$6,0))))*IF(C1339="8_1",9,25))</f>
        <v>4.2080418531804774E-7</v>
      </c>
    </row>
    <row r="1340" spans="1:6" ht="12.75" x14ac:dyDescent="0.2">
      <c r="A1340" s="1">
        <v>55</v>
      </c>
      <c r="B1340" s="1">
        <v>4</v>
      </c>
      <c r="C1340" s="1" t="s">
        <v>5</v>
      </c>
      <c r="D1340" s="1" t="s">
        <v>6</v>
      </c>
      <c r="E1340" s="1">
        <v>6.9562745094299299</v>
      </c>
      <c r="F1340" s="1">
        <f>Tabla1[[#This Row],[tiempo]]/(IF(Tabla1[[#This Row],[tamanho]]=$I$3,$L$3,IF(Tabla1[[#This Row],[tamanho]]=$I$4,$L$4,IF(Tabla1[[#This Row],[tamanho]]=$I$5,$L$5,IF(Tabla1[[#This Row],[tamanho]]=$I$6,$L$6,0))))*IF(C1340="8_1",9,25))</f>
        <v>1.0504433794597996E-6</v>
      </c>
    </row>
    <row r="1341" spans="1:6" ht="12.75" x14ac:dyDescent="0.2">
      <c r="A1341" s="1">
        <v>55</v>
      </c>
      <c r="B1341" s="1">
        <v>4</v>
      </c>
      <c r="C1341" s="1" t="s">
        <v>7</v>
      </c>
      <c r="D1341" s="1" t="s">
        <v>6</v>
      </c>
      <c r="E1341" s="1">
        <v>7.7406966686248699</v>
      </c>
      <c r="F1341" s="1">
        <f>Tabla1[[#This Row],[tiempo]]/(IF(Tabla1[[#This Row],[tamanho]]=$I$3,$L$3,IF(Tabla1[[#This Row],[tamanho]]=$I$4,$L$4,IF(Tabla1[[#This Row],[tamanho]]=$I$5,$L$5,IF(Tabla1[[#This Row],[tamanho]]=$I$6,$L$6,0))))*IF(C1341="8_1",9,25))</f>
        <v>4.2080266966157355E-7</v>
      </c>
    </row>
    <row r="1342" spans="1:6" ht="12.75" x14ac:dyDescent="0.2">
      <c r="A1342" s="1">
        <v>55</v>
      </c>
      <c r="B1342" s="1">
        <v>4</v>
      </c>
      <c r="C1342" s="1" t="s">
        <v>8</v>
      </c>
      <c r="D1342" s="1" t="s">
        <v>6</v>
      </c>
      <c r="E1342" s="1">
        <v>7.7454235553741402</v>
      </c>
      <c r="F1342" s="1">
        <f>Tabla1[[#This Row],[tiempo]]/(IF(Tabla1[[#This Row],[tamanho]]=$I$3,$L$3,IF(Tabla1[[#This Row],[tamanho]]=$I$4,$L$4,IF(Tabla1[[#This Row],[tamanho]]=$I$5,$L$5,IF(Tabla1[[#This Row],[tamanho]]=$I$6,$L$6,0))))*IF(C1342="8_1",9,25))</f>
        <v>4.2105963446053577E-7</v>
      </c>
    </row>
    <row r="1343" spans="1:6" ht="12.75" x14ac:dyDescent="0.2">
      <c r="A1343" s="1">
        <v>55</v>
      </c>
      <c r="B1343" s="1">
        <v>4</v>
      </c>
      <c r="C1343" s="1" t="s">
        <v>5</v>
      </c>
      <c r="D1343" s="1" t="s">
        <v>9</v>
      </c>
      <c r="E1343" s="1">
        <v>6.9132425785064697</v>
      </c>
      <c r="F1343" s="1">
        <f>Tabla1[[#This Row],[tiempo]]/(IF(Tabla1[[#This Row],[tamanho]]=$I$3,$L$3,IF(Tabla1[[#This Row],[tamanho]]=$I$4,$L$4,IF(Tabla1[[#This Row],[tamanho]]=$I$5,$L$5,IF(Tabla1[[#This Row],[tamanho]]=$I$6,$L$6,0))))*IF(C1343="8_1",9,25))</f>
        <v>1.0439452737736821E-6</v>
      </c>
    </row>
    <row r="1344" spans="1:6" ht="12.75" x14ac:dyDescent="0.2">
      <c r="A1344" s="1">
        <v>55</v>
      </c>
      <c r="B1344" s="1">
        <v>4</v>
      </c>
      <c r="C1344" s="1" t="s">
        <v>7</v>
      </c>
      <c r="D1344" s="1" t="s">
        <v>9</v>
      </c>
      <c r="E1344" s="1">
        <v>7.7790656089782697</v>
      </c>
      <c r="F1344" s="1">
        <f>Tabla1[[#This Row],[tiempo]]/(IF(Tabla1[[#This Row],[tamanho]]=$I$3,$L$3,IF(Tabla1[[#This Row],[tamanho]]=$I$4,$L$4,IF(Tabla1[[#This Row],[tamanho]]=$I$5,$L$5,IF(Tabla1[[#This Row],[tamanho]]=$I$6,$L$6,0))))*IF(C1344="8_1",9,25))</f>
        <v>4.2288849645778938E-7</v>
      </c>
    </row>
    <row r="1345" spans="1:6" ht="12.75" x14ac:dyDescent="0.2">
      <c r="A1345" s="1">
        <v>55</v>
      </c>
      <c r="B1345" s="1">
        <v>4</v>
      </c>
      <c r="C1345" s="1" t="s">
        <v>8</v>
      </c>
      <c r="D1345" s="1" t="s">
        <v>9</v>
      </c>
      <c r="E1345" s="1">
        <v>7.7889277935027996</v>
      </c>
      <c r="F1345" s="1">
        <f>Tabla1[[#This Row],[tiempo]]/(IF(Tabla1[[#This Row],[tamanho]]=$I$3,$L$3,IF(Tabla1[[#This Row],[tamanho]]=$I$4,$L$4,IF(Tabla1[[#This Row],[tamanho]]=$I$5,$L$5,IF(Tabla1[[#This Row],[tamanho]]=$I$6,$L$6,0))))*IF(C1345="8_1",9,25))</f>
        <v>4.2342462824983313E-7</v>
      </c>
    </row>
    <row r="1346" spans="1:6" ht="12.75" x14ac:dyDescent="0.2">
      <c r="A1346" s="1">
        <v>56</v>
      </c>
      <c r="B1346" s="1">
        <v>1</v>
      </c>
      <c r="C1346" s="1" t="s">
        <v>5</v>
      </c>
      <c r="D1346" s="1" t="s">
        <v>6</v>
      </c>
      <c r="E1346" s="1">
        <v>0.40532922744750899</v>
      </c>
      <c r="F1346" s="1">
        <f>Tabla1[[#This Row],[tiempo]]/(IF(Tabla1[[#This Row],[tamanho]]=$I$3,$L$3,IF(Tabla1[[#This Row],[tamanho]]=$I$4,$L$4,IF(Tabla1[[#This Row],[tamanho]]=$I$5,$L$5,IF(Tabla1[[#This Row],[tamanho]]=$I$6,$L$6,0))))*IF(C1346="8_1",9,25))</f>
        <v>1.6704343617633247E-6</v>
      </c>
    </row>
    <row r="1347" spans="1:6" ht="12.75" x14ac:dyDescent="0.2">
      <c r="A1347" s="1">
        <v>56</v>
      </c>
      <c r="B1347" s="1">
        <v>1</v>
      </c>
      <c r="C1347" s="1" t="s">
        <v>7</v>
      </c>
      <c r="D1347" s="1" t="s">
        <v>6</v>
      </c>
      <c r="E1347" s="1">
        <v>0.45208764076232899</v>
      </c>
      <c r="F1347" s="1">
        <f>Tabla1[[#This Row],[tiempo]]/(IF(Tabla1[[#This Row],[tamanho]]=$I$3,$L$3,IF(Tabla1[[#This Row],[tamanho]]=$I$4,$L$4,IF(Tabla1[[#This Row],[tamanho]]=$I$5,$L$5,IF(Tabla1[[#This Row],[tamanho]]=$I$6,$L$6,0))))*IF(C1347="8_1",9,25))</f>
        <v>6.7072829755918398E-7</v>
      </c>
    </row>
    <row r="1348" spans="1:6" ht="12.75" x14ac:dyDescent="0.2">
      <c r="A1348" s="1">
        <v>56</v>
      </c>
      <c r="B1348" s="1">
        <v>1</v>
      </c>
      <c r="C1348" s="1" t="s">
        <v>8</v>
      </c>
      <c r="D1348" s="1" t="s">
        <v>6</v>
      </c>
      <c r="E1348" s="1">
        <v>0.45500111579894997</v>
      </c>
      <c r="F1348" s="1">
        <f>Tabla1[[#This Row],[tiempo]]/(IF(Tabla1[[#This Row],[tamanho]]=$I$3,$L$3,IF(Tabla1[[#This Row],[tamanho]]=$I$4,$L$4,IF(Tabla1[[#This Row],[tamanho]]=$I$5,$L$5,IF(Tabla1[[#This Row],[tamanho]]=$I$6,$L$6,0))))*IF(C1348="8_1",9,25))</f>
        <v>6.7505080048803819E-7</v>
      </c>
    </row>
    <row r="1349" spans="1:6" ht="12.75" x14ac:dyDescent="0.2">
      <c r="A1349" s="1">
        <v>56</v>
      </c>
      <c r="B1349" s="1">
        <v>1</v>
      </c>
      <c r="C1349" s="1" t="s">
        <v>5</v>
      </c>
      <c r="D1349" s="1" t="s">
        <v>9</v>
      </c>
      <c r="E1349" s="1">
        <v>0.40663170814514099</v>
      </c>
      <c r="F1349" s="1">
        <f>Tabla1[[#This Row],[tiempo]]/(IF(Tabla1[[#This Row],[tamanho]]=$I$3,$L$3,IF(Tabla1[[#This Row],[tamanho]]=$I$4,$L$4,IF(Tabla1[[#This Row],[tamanho]]=$I$5,$L$5,IF(Tabla1[[#This Row],[tamanho]]=$I$6,$L$6,0))))*IF(C1349="8_1",9,25))</f>
        <v>1.6758021180600002E-6</v>
      </c>
    </row>
    <row r="1350" spans="1:6" ht="12.75" x14ac:dyDescent="0.2">
      <c r="A1350" s="1">
        <v>56</v>
      </c>
      <c r="B1350" s="1">
        <v>1</v>
      </c>
      <c r="C1350" s="1" t="s">
        <v>7</v>
      </c>
      <c r="D1350" s="1" t="s">
        <v>9</v>
      </c>
      <c r="E1350" s="1">
        <v>0.454920053482055</v>
      </c>
      <c r="F1350" s="1">
        <f>Tabla1[[#This Row],[tiempo]]/(IF(Tabla1[[#This Row],[tamanho]]=$I$3,$L$3,IF(Tabla1[[#This Row],[tamanho]]=$I$4,$L$4,IF(Tabla1[[#This Row],[tamanho]]=$I$5,$L$5,IF(Tabla1[[#This Row],[tamanho]]=$I$6,$L$6,0))))*IF(C1350="8_1",9,25))</f>
        <v>6.7493053444910058E-7</v>
      </c>
    </row>
    <row r="1351" spans="1:6" ht="12.75" x14ac:dyDescent="0.2">
      <c r="A1351" s="1">
        <v>56</v>
      </c>
      <c r="B1351" s="1">
        <v>1</v>
      </c>
      <c r="C1351" s="1" t="s">
        <v>8</v>
      </c>
      <c r="D1351" s="1" t="s">
        <v>9</v>
      </c>
      <c r="E1351" s="1">
        <v>0.46329879760742099</v>
      </c>
      <c r="F1351" s="1">
        <f>Tabla1[[#This Row],[tiempo]]/(IF(Tabla1[[#This Row],[tamanho]]=$I$3,$L$3,IF(Tabla1[[#This Row],[tamanho]]=$I$4,$L$4,IF(Tabla1[[#This Row],[tamanho]]=$I$5,$L$5,IF(Tabla1[[#This Row],[tamanho]]=$I$6,$L$6,0))))*IF(C1351="8_1",9,25))</f>
        <v>6.8736144446781797E-7</v>
      </c>
    </row>
    <row r="1352" spans="1:6" ht="12.75" x14ac:dyDescent="0.2">
      <c r="A1352" s="1">
        <v>56</v>
      </c>
      <c r="B1352" s="1">
        <v>2</v>
      </c>
      <c r="C1352" s="1" t="s">
        <v>5</v>
      </c>
      <c r="D1352" s="1" t="s">
        <v>6</v>
      </c>
      <c r="E1352" s="1">
        <v>1.6627902984619101</v>
      </c>
      <c r="F1352" s="1">
        <f>Tabla1[[#This Row],[tiempo]]/(IF(Tabla1[[#This Row],[tamanho]]=$I$3,$L$3,IF(Tabla1[[#This Row],[tamanho]]=$I$4,$L$4,IF(Tabla1[[#This Row],[tamanho]]=$I$5,$L$5,IF(Tabla1[[#This Row],[tamanho]]=$I$6,$L$6,0))))*IF(C1352="8_1",9,25))</f>
        <v>1.006715694068716E-6</v>
      </c>
    </row>
    <row r="1353" spans="1:6" ht="12.75" x14ac:dyDescent="0.2">
      <c r="A1353" s="1">
        <v>56</v>
      </c>
      <c r="B1353" s="1">
        <v>2</v>
      </c>
      <c r="C1353" s="1" t="s">
        <v>7</v>
      </c>
      <c r="D1353" s="1" t="s">
        <v>6</v>
      </c>
      <c r="E1353" s="1">
        <v>1.8646435737609801</v>
      </c>
      <c r="F1353" s="1">
        <f>Tabla1[[#This Row],[tiempo]]/(IF(Tabla1[[#This Row],[tamanho]]=$I$3,$L$3,IF(Tabla1[[#This Row],[tamanho]]=$I$4,$L$4,IF(Tabla1[[#This Row],[tamanho]]=$I$5,$L$5,IF(Tabla1[[#This Row],[tamanho]]=$I$6,$L$6,0))))*IF(C1353="8_1",9,25))</f>
        <v>4.0641308916881465E-7</v>
      </c>
    </row>
    <row r="1354" spans="1:6" ht="12.75" x14ac:dyDescent="0.2">
      <c r="A1354" s="1">
        <v>56</v>
      </c>
      <c r="B1354" s="1">
        <v>2</v>
      </c>
      <c r="C1354" s="1" t="s">
        <v>8</v>
      </c>
      <c r="D1354" s="1" t="s">
        <v>6</v>
      </c>
      <c r="E1354" s="1">
        <v>1.88629269599914</v>
      </c>
      <c r="F1354" s="1">
        <f>Tabla1[[#This Row],[tiempo]]/(IF(Tabla1[[#This Row],[tamanho]]=$I$3,$L$3,IF(Tabla1[[#This Row],[tamanho]]=$I$4,$L$4,IF(Tabla1[[#This Row],[tamanho]]=$I$5,$L$5,IF(Tabla1[[#This Row],[tamanho]]=$I$6,$L$6,0))))*IF(C1354="8_1",9,25))</f>
        <v>4.1113167816373841E-7</v>
      </c>
    </row>
    <row r="1355" spans="1:6" ht="12.75" x14ac:dyDescent="0.2">
      <c r="A1355" s="1">
        <v>56</v>
      </c>
      <c r="B1355" s="1">
        <v>2</v>
      </c>
      <c r="C1355" s="1" t="s">
        <v>5</v>
      </c>
      <c r="D1355" s="1" t="s">
        <v>9</v>
      </c>
      <c r="E1355" s="1">
        <v>1.6790482997894201</v>
      </c>
      <c r="F1355" s="1">
        <f>Tabla1[[#This Row],[tiempo]]/(IF(Tabla1[[#This Row],[tamanho]]=$I$3,$L$3,IF(Tabla1[[#This Row],[tamanho]]=$I$4,$L$4,IF(Tabla1[[#This Row],[tamanho]]=$I$5,$L$5,IF(Tabla1[[#This Row],[tamanho]]=$I$6,$L$6,0))))*IF(C1355="8_1",9,25))</f>
        <v>1.0165588986542456E-6</v>
      </c>
    </row>
    <row r="1356" spans="1:6" ht="12.75" x14ac:dyDescent="0.2">
      <c r="A1356" s="1">
        <v>56</v>
      </c>
      <c r="B1356" s="1">
        <v>2</v>
      </c>
      <c r="C1356" s="1" t="s">
        <v>7</v>
      </c>
      <c r="D1356" s="1" t="s">
        <v>9</v>
      </c>
      <c r="E1356" s="1">
        <v>1.8719012737274101</v>
      </c>
      <c r="F1356" s="1">
        <f>Tabla1[[#This Row],[tiempo]]/(IF(Tabla1[[#This Row],[tamanho]]=$I$3,$L$3,IF(Tabla1[[#This Row],[tamanho]]=$I$4,$L$4,IF(Tabla1[[#This Row],[tamanho]]=$I$5,$L$5,IF(Tabla1[[#This Row],[tamanho]]=$I$6,$L$6,0))))*IF(C1356="8_1",9,25))</f>
        <v>4.0799495945497764E-7</v>
      </c>
    </row>
    <row r="1357" spans="1:6" ht="12.75" x14ac:dyDescent="0.2">
      <c r="A1357" s="1">
        <v>56</v>
      </c>
      <c r="B1357" s="1">
        <v>2</v>
      </c>
      <c r="C1357" s="1" t="s">
        <v>8</v>
      </c>
      <c r="D1357" s="1" t="s">
        <v>9</v>
      </c>
      <c r="E1357" s="1">
        <v>1.88720202445983</v>
      </c>
      <c r="F1357" s="1">
        <f>Tabla1[[#This Row],[tiempo]]/(IF(Tabla1[[#This Row],[tamanho]]=$I$3,$L$3,IF(Tabla1[[#This Row],[tamanho]]=$I$4,$L$4,IF(Tabla1[[#This Row],[tamanho]]=$I$5,$L$5,IF(Tabla1[[#This Row],[tamanho]]=$I$6,$L$6,0))))*IF(C1357="8_1",9,25))</f>
        <v>4.1132987313996794E-7</v>
      </c>
    </row>
    <row r="1358" spans="1:6" ht="12.75" x14ac:dyDescent="0.2">
      <c r="A1358" s="1">
        <v>56</v>
      </c>
      <c r="B1358" s="1">
        <v>3</v>
      </c>
      <c r="C1358" s="1" t="s">
        <v>5</v>
      </c>
      <c r="D1358" s="1" t="s">
        <v>6</v>
      </c>
      <c r="E1358" s="1">
        <v>3.7940051555633501</v>
      </c>
      <c r="F1358" s="1">
        <f>Tabla1[[#This Row],[tiempo]]/(IF(Tabla1[[#This Row],[tamanho]]=$I$3,$L$3,IF(Tabla1[[#This Row],[tamanho]]=$I$4,$L$4,IF(Tabla1[[#This Row],[tamanho]]=$I$5,$L$5,IF(Tabla1[[#This Row],[tamanho]]=$I$6,$L$6,0))))*IF(C1358="8_1",9,25))</f>
        <v>1.0200921188616362E-6</v>
      </c>
    </row>
    <row r="1359" spans="1:6" ht="12.75" x14ac:dyDescent="0.2">
      <c r="A1359" s="1">
        <v>56</v>
      </c>
      <c r="B1359" s="1">
        <v>3</v>
      </c>
      <c r="C1359" s="1" t="s">
        <v>7</v>
      </c>
      <c r="D1359" s="1" t="s">
        <v>6</v>
      </c>
      <c r="E1359" s="1">
        <v>4.2280380725860596</v>
      </c>
      <c r="F1359" s="1">
        <f>Tabla1[[#This Row],[tiempo]]/(IF(Tabla1[[#This Row],[tamanho]]=$I$3,$L$3,IF(Tabla1[[#This Row],[tamanho]]=$I$4,$L$4,IF(Tabla1[[#This Row],[tamanho]]=$I$5,$L$5,IF(Tabla1[[#This Row],[tamanho]]=$I$6,$L$6,0))))*IF(C1359="8_1",9,25))</f>
        <v>4.09244513417791E-7</v>
      </c>
    </row>
    <row r="1360" spans="1:6" ht="12.75" x14ac:dyDescent="0.2">
      <c r="A1360" s="1">
        <v>56</v>
      </c>
      <c r="B1360" s="1">
        <v>3</v>
      </c>
      <c r="C1360" s="1" t="s">
        <v>8</v>
      </c>
      <c r="D1360" s="1" t="s">
        <v>6</v>
      </c>
      <c r="E1360" s="1">
        <v>4.2920427322387598</v>
      </c>
      <c r="F1360" s="1">
        <f>Tabla1[[#This Row],[tiempo]]/(IF(Tabla1[[#This Row],[tamanho]]=$I$3,$L$3,IF(Tabla1[[#This Row],[tamanho]]=$I$4,$L$4,IF(Tabla1[[#This Row],[tamanho]]=$I$5,$L$5,IF(Tabla1[[#This Row],[tamanho]]=$I$6,$L$6,0))))*IF(C1360="8_1",9,25))</f>
        <v>4.1543971680677548E-7</v>
      </c>
    </row>
    <row r="1361" spans="1:6" ht="12.75" x14ac:dyDescent="0.2">
      <c r="A1361" s="1">
        <v>56</v>
      </c>
      <c r="B1361" s="1">
        <v>3</v>
      </c>
      <c r="C1361" s="1" t="s">
        <v>5</v>
      </c>
      <c r="D1361" s="1" t="s">
        <v>9</v>
      </c>
      <c r="E1361" s="1">
        <v>3.8221027851104701</v>
      </c>
      <c r="F1361" s="1">
        <f>Tabla1[[#This Row],[tiempo]]/(IF(Tabla1[[#This Row],[tamanho]]=$I$3,$L$3,IF(Tabla1[[#This Row],[tamanho]]=$I$4,$L$4,IF(Tabla1[[#This Row],[tamanho]]=$I$5,$L$5,IF(Tabla1[[#This Row],[tamanho]]=$I$6,$L$6,0))))*IF(C1361="8_1",9,25))</f>
        <v>1.0276467133559748E-6</v>
      </c>
    </row>
    <row r="1362" spans="1:6" ht="12.75" x14ac:dyDescent="0.2">
      <c r="A1362" s="1">
        <v>56</v>
      </c>
      <c r="B1362" s="1">
        <v>3</v>
      </c>
      <c r="C1362" s="1" t="s">
        <v>7</v>
      </c>
      <c r="D1362" s="1" t="s">
        <v>9</v>
      </c>
      <c r="E1362" s="1">
        <v>4.2823078632354701</v>
      </c>
      <c r="F1362" s="1">
        <f>Tabla1[[#This Row],[tiempo]]/(IF(Tabla1[[#This Row],[tamanho]]=$I$3,$L$3,IF(Tabla1[[#This Row],[tamanho]]=$I$4,$L$4,IF(Tabla1[[#This Row],[tamanho]]=$I$5,$L$5,IF(Tabla1[[#This Row],[tamanho]]=$I$6,$L$6,0))))*IF(C1362="8_1",9,25))</f>
        <v>4.1449744957548718E-7</v>
      </c>
    </row>
    <row r="1363" spans="1:6" ht="12.75" x14ac:dyDescent="0.2">
      <c r="A1363" s="1">
        <v>56</v>
      </c>
      <c r="B1363" s="1">
        <v>3</v>
      </c>
      <c r="C1363" s="1" t="s">
        <v>8</v>
      </c>
      <c r="D1363" s="1" t="s">
        <v>9</v>
      </c>
      <c r="E1363" s="1">
        <v>4.3171882629394496</v>
      </c>
      <c r="F1363" s="1">
        <f>Tabla1[[#This Row],[tiempo]]/(IF(Tabla1[[#This Row],[tamanho]]=$I$3,$L$3,IF(Tabla1[[#This Row],[tamanho]]=$I$4,$L$4,IF(Tabla1[[#This Row],[tamanho]]=$I$5,$L$5,IF(Tabla1[[#This Row],[tamanho]]=$I$6,$L$6,0))))*IF(C1363="8_1",9,25))</f>
        <v>4.1787362830415746E-7</v>
      </c>
    </row>
    <row r="1364" spans="1:6" ht="12.75" x14ac:dyDescent="0.2">
      <c r="A1364" s="1">
        <v>56</v>
      </c>
      <c r="B1364" s="1">
        <v>4</v>
      </c>
      <c r="C1364" s="1" t="s">
        <v>5</v>
      </c>
      <c r="D1364" s="1" t="s">
        <v>6</v>
      </c>
      <c r="E1364" s="1">
        <v>6.8205182552337602</v>
      </c>
      <c r="F1364" s="1">
        <f>Tabla1[[#This Row],[tiempo]]/(IF(Tabla1[[#This Row],[tamanho]]=$I$3,$L$3,IF(Tabla1[[#This Row],[tamanho]]=$I$4,$L$4,IF(Tabla1[[#This Row],[tamanho]]=$I$5,$L$5,IF(Tabla1[[#This Row],[tamanho]]=$I$6,$L$6,0))))*IF(C1364="8_1",9,25))</f>
        <v>1.0299432887507117E-6</v>
      </c>
    </row>
    <row r="1365" spans="1:6" ht="12.75" x14ac:dyDescent="0.2">
      <c r="A1365" s="1">
        <v>56</v>
      </c>
      <c r="B1365" s="1">
        <v>4</v>
      </c>
      <c r="C1365" s="1" t="s">
        <v>7</v>
      </c>
      <c r="D1365" s="1" t="s">
        <v>6</v>
      </c>
      <c r="E1365" s="1">
        <v>7.6192908287048304</v>
      </c>
      <c r="F1365" s="1">
        <f>Tabla1[[#This Row],[tiempo]]/(IF(Tabla1[[#This Row],[tamanho]]=$I$3,$L$3,IF(Tabla1[[#This Row],[tamanho]]=$I$4,$L$4,IF(Tabla1[[#This Row],[tamanho]]=$I$5,$L$5,IF(Tabla1[[#This Row],[tamanho]]=$I$6,$L$6,0))))*IF(C1365="8_1",9,25))</f>
        <v>4.1420275963565412E-7</v>
      </c>
    </row>
    <row r="1366" spans="1:6" ht="12.75" x14ac:dyDescent="0.2">
      <c r="A1366" s="1">
        <v>56</v>
      </c>
      <c r="B1366" s="1">
        <v>4</v>
      </c>
      <c r="C1366" s="1" t="s">
        <v>8</v>
      </c>
      <c r="D1366" s="1" t="s">
        <v>6</v>
      </c>
      <c r="E1366" s="1">
        <v>7.6435761451721103</v>
      </c>
      <c r="F1366" s="1">
        <f>Tabla1[[#This Row],[tiempo]]/(IF(Tabla1[[#This Row],[tamanho]]=$I$3,$L$3,IF(Tabla1[[#This Row],[tamanho]]=$I$4,$L$4,IF(Tabla1[[#This Row],[tamanho]]=$I$5,$L$5,IF(Tabla1[[#This Row],[tamanho]]=$I$6,$L$6,0))))*IF(C1366="8_1",9,25))</f>
        <v>4.1552296716224913E-7</v>
      </c>
    </row>
    <row r="1367" spans="1:6" ht="12.75" x14ac:dyDescent="0.2">
      <c r="A1367" s="1">
        <v>56</v>
      </c>
      <c r="B1367" s="1">
        <v>4</v>
      </c>
      <c r="C1367" s="1" t="s">
        <v>5</v>
      </c>
      <c r="D1367" s="1" t="s">
        <v>9</v>
      </c>
      <c r="E1367" s="1">
        <v>6.8771066665649396</v>
      </c>
      <c r="F1367" s="1">
        <f>Tabla1[[#This Row],[tiempo]]/(IF(Tabla1[[#This Row],[tamanho]]=$I$3,$L$3,IF(Tabla1[[#This Row],[tamanho]]=$I$4,$L$4,IF(Tabla1[[#This Row],[tamanho]]=$I$5,$L$5,IF(Tabla1[[#This Row],[tamanho]]=$I$6,$L$6,0))))*IF(C1367="8_1",9,25))</f>
        <v>1.0384885124845373E-6</v>
      </c>
    </row>
    <row r="1368" spans="1:6" ht="12.75" x14ac:dyDescent="0.2">
      <c r="A1368" s="1">
        <v>56</v>
      </c>
      <c r="B1368" s="1">
        <v>4</v>
      </c>
      <c r="C1368" s="1" t="s">
        <v>7</v>
      </c>
      <c r="D1368" s="1" t="s">
        <v>9</v>
      </c>
      <c r="E1368" s="1">
        <v>7.6468489170074401</v>
      </c>
      <c r="F1368" s="1">
        <f>Tabla1[[#This Row],[tiempo]]/(IF(Tabla1[[#This Row],[tamanho]]=$I$3,$L$3,IF(Tabla1[[#This Row],[tamanho]]=$I$4,$L$4,IF(Tabla1[[#This Row],[tamanho]]=$I$5,$L$5,IF(Tabla1[[#This Row],[tamanho]]=$I$6,$L$6,0))))*IF(C1368="8_1",9,25))</f>
        <v>4.1570088281822389E-7</v>
      </c>
    </row>
    <row r="1369" spans="1:6" ht="12.75" x14ac:dyDescent="0.2">
      <c r="A1369" s="1">
        <v>56</v>
      </c>
      <c r="B1369" s="1">
        <v>4</v>
      </c>
      <c r="C1369" s="1" t="s">
        <v>8</v>
      </c>
      <c r="D1369" s="1" t="s">
        <v>9</v>
      </c>
      <c r="E1369" s="1">
        <v>7.7207953929901096</v>
      </c>
      <c r="F1369" s="1">
        <f>Tabla1[[#This Row],[tiempo]]/(IF(Tabla1[[#This Row],[tamanho]]=$I$3,$L$3,IF(Tabla1[[#This Row],[tamanho]]=$I$4,$L$4,IF(Tabla1[[#This Row],[tamanho]]=$I$5,$L$5,IF(Tabla1[[#This Row],[tamanho]]=$I$6,$L$6,0))))*IF(C1369="8_1",9,25))</f>
        <v>4.1972078901500048E-7</v>
      </c>
    </row>
    <row r="1370" spans="1:6" ht="12.75" x14ac:dyDescent="0.2">
      <c r="A1370" s="1">
        <v>57</v>
      </c>
      <c r="B1370" s="1">
        <v>1</v>
      </c>
      <c r="C1370" s="1" t="s">
        <v>5</v>
      </c>
      <c r="D1370" s="1" t="s">
        <v>6</v>
      </c>
      <c r="E1370" s="1">
        <v>0.40438723564147899</v>
      </c>
      <c r="F1370" s="1">
        <f>Tabla1[[#This Row],[tiempo]]/(IF(Tabla1[[#This Row],[tamanho]]=$I$3,$L$3,IF(Tabla1[[#This Row],[tamanho]]=$I$4,$L$4,IF(Tabla1[[#This Row],[tamanho]]=$I$5,$L$5,IF(Tabla1[[#This Row],[tamanho]]=$I$6,$L$6,0))))*IF(C1370="8_1",9,25))</f>
        <v>1.6665522447711674E-6</v>
      </c>
    </row>
    <row r="1371" spans="1:6" ht="12.75" x14ac:dyDescent="0.2">
      <c r="A1371" s="1">
        <v>57</v>
      </c>
      <c r="B1371" s="1">
        <v>1</v>
      </c>
      <c r="C1371" s="1" t="s">
        <v>7</v>
      </c>
      <c r="D1371" s="1" t="s">
        <v>6</v>
      </c>
      <c r="E1371" s="1">
        <v>0.45545625686645502</v>
      </c>
      <c r="F1371" s="1">
        <f>Tabla1[[#This Row],[tiempo]]/(IF(Tabla1[[#This Row],[tamanho]]=$I$3,$L$3,IF(Tabla1[[#This Row],[tamanho]]=$I$4,$L$4,IF(Tabla1[[#This Row],[tamanho]]=$I$5,$L$5,IF(Tabla1[[#This Row],[tamanho]]=$I$6,$L$6,0))))*IF(C1371="8_1",9,25))</f>
        <v>6.7572605892430556E-7</v>
      </c>
    </row>
    <row r="1372" spans="1:6" ht="12.75" x14ac:dyDescent="0.2">
      <c r="A1372" s="1">
        <v>57</v>
      </c>
      <c r="B1372" s="1">
        <v>1</v>
      </c>
      <c r="C1372" s="1" t="s">
        <v>8</v>
      </c>
      <c r="D1372" s="1" t="s">
        <v>6</v>
      </c>
      <c r="E1372" s="1">
        <v>0.45822882652282698</v>
      </c>
      <c r="F1372" s="1">
        <f>Tabla1[[#This Row],[tiempo]]/(IF(Tabla1[[#This Row],[tamanho]]=$I$3,$L$3,IF(Tabla1[[#This Row],[tamanho]]=$I$4,$L$4,IF(Tabla1[[#This Row],[tamanho]]=$I$5,$L$5,IF(Tabla1[[#This Row],[tamanho]]=$I$6,$L$6,0))))*IF(C1372="8_1",9,25))</f>
        <v>6.7983951117959566E-7</v>
      </c>
    </row>
    <row r="1373" spans="1:6" ht="12.75" x14ac:dyDescent="0.2">
      <c r="A1373" s="1">
        <v>57</v>
      </c>
      <c r="B1373" s="1">
        <v>1</v>
      </c>
      <c r="C1373" s="1" t="s">
        <v>5</v>
      </c>
      <c r="D1373" s="1" t="s">
        <v>9</v>
      </c>
      <c r="E1373" s="1">
        <v>0.40498924255370999</v>
      </c>
      <c r="F1373" s="1">
        <f>Tabla1[[#This Row],[tiempo]]/(IF(Tabla1[[#This Row],[tamanho]]=$I$3,$L$3,IF(Tabla1[[#This Row],[tamanho]]=$I$4,$L$4,IF(Tabla1[[#This Row],[tamanho]]=$I$5,$L$5,IF(Tabla1[[#This Row],[tamanho]]=$I$6,$L$6,0))))*IF(C1373="8_1",9,25))</f>
        <v>1.6690332231070806E-6</v>
      </c>
    </row>
    <row r="1374" spans="1:6" ht="12.75" x14ac:dyDescent="0.2">
      <c r="A1374" s="1">
        <v>57</v>
      </c>
      <c r="B1374" s="1">
        <v>1</v>
      </c>
      <c r="C1374" s="1" t="s">
        <v>7</v>
      </c>
      <c r="D1374" s="1" t="s">
        <v>9</v>
      </c>
      <c r="E1374" s="1">
        <v>0.45547533035278298</v>
      </c>
      <c r="F1374" s="1">
        <f>Tabla1[[#This Row],[tiempo]]/(IF(Tabla1[[#This Row],[tamanho]]=$I$3,$L$3,IF(Tabla1[[#This Row],[tamanho]]=$I$4,$L$4,IF(Tabla1[[#This Row],[tamanho]]=$I$5,$L$5,IF(Tabla1[[#This Row],[tamanho]]=$I$6,$L$6,0))))*IF(C1374="8_1",9,25))</f>
        <v>6.7575435681581986E-7</v>
      </c>
    </row>
    <row r="1375" spans="1:6" ht="12.75" x14ac:dyDescent="0.2">
      <c r="A1375" s="1">
        <v>57</v>
      </c>
      <c r="B1375" s="1">
        <v>1</v>
      </c>
      <c r="C1375" s="1" t="s">
        <v>8</v>
      </c>
      <c r="D1375" s="1" t="s">
        <v>9</v>
      </c>
      <c r="E1375" s="1">
        <v>0.46289229393005299</v>
      </c>
      <c r="F1375" s="1">
        <f>Tabla1[[#This Row],[tiempo]]/(IF(Tabla1[[#This Row],[tamanho]]=$I$3,$L$3,IF(Tabla1[[#This Row],[tamanho]]=$I$4,$L$4,IF(Tabla1[[#This Row],[tamanho]]=$I$5,$L$5,IF(Tabla1[[#This Row],[tamanho]]=$I$6,$L$6,0))))*IF(C1375="8_1",9,25))</f>
        <v>6.867583456549134E-7</v>
      </c>
    </row>
    <row r="1376" spans="1:6" ht="12.75" x14ac:dyDescent="0.2">
      <c r="A1376" s="1">
        <v>57</v>
      </c>
      <c r="B1376" s="1">
        <v>2</v>
      </c>
      <c r="C1376" s="1" t="s">
        <v>5</v>
      </c>
      <c r="D1376" s="1" t="s">
        <v>6</v>
      </c>
      <c r="E1376" s="1">
        <v>1.66848587989807</v>
      </c>
      <c r="F1376" s="1">
        <f>Tabla1[[#This Row],[tiempo]]/(IF(Tabla1[[#This Row],[tamanho]]=$I$3,$L$3,IF(Tabla1[[#This Row],[tamanho]]=$I$4,$L$4,IF(Tabla1[[#This Row],[tamanho]]=$I$5,$L$5,IF(Tabla1[[#This Row],[tamanho]]=$I$6,$L$6,0))))*IF(C1376="8_1",9,25))</f>
        <v>1.0101640129721473E-6</v>
      </c>
    </row>
    <row r="1377" spans="1:6" ht="12.75" x14ac:dyDescent="0.2">
      <c r="A1377" s="1">
        <v>57</v>
      </c>
      <c r="B1377" s="1">
        <v>2</v>
      </c>
      <c r="C1377" s="1" t="s">
        <v>7</v>
      </c>
      <c r="D1377" s="1" t="s">
        <v>6</v>
      </c>
      <c r="E1377" s="1">
        <v>1.8674840927123999</v>
      </c>
      <c r="F1377" s="1">
        <f>Tabla1[[#This Row],[tiempo]]/(IF(Tabla1[[#This Row],[tamanho]]=$I$3,$L$3,IF(Tabla1[[#This Row],[tamanho]]=$I$4,$L$4,IF(Tabla1[[#This Row],[tamanho]]=$I$5,$L$5,IF(Tabla1[[#This Row],[tamanho]]=$I$6,$L$6,0))))*IF(C1377="8_1",9,25))</f>
        <v>4.0703220163520446E-7</v>
      </c>
    </row>
    <row r="1378" spans="1:6" ht="12.75" x14ac:dyDescent="0.2">
      <c r="A1378" s="1">
        <v>57</v>
      </c>
      <c r="B1378" s="1">
        <v>2</v>
      </c>
      <c r="C1378" s="1" t="s">
        <v>8</v>
      </c>
      <c r="D1378" s="1" t="s">
        <v>6</v>
      </c>
      <c r="E1378" s="1">
        <v>1.88761305809021</v>
      </c>
      <c r="F1378" s="1">
        <f>Tabla1[[#This Row],[tiempo]]/(IF(Tabla1[[#This Row],[tamanho]]=$I$3,$L$3,IF(Tabla1[[#This Row],[tamanho]]=$I$4,$L$4,IF(Tabla1[[#This Row],[tamanho]]=$I$5,$L$5,IF(Tabla1[[#This Row],[tamanho]]=$I$6,$L$6,0))))*IF(C1378="8_1",9,25))</f>
        <v>4.1141946101071477E-7</v>
      </c>
    </row>
    <row r="1379" spans="1:6" ht="12.75" x14ac:dyDescent="0.2">
      <c r="A1379" s="1">
        <v>57</v>
      </c>
      <c r="B1379" s="1">
        <v>2</v>
      </c>
      <c r="C1379" s="1" t="s">
        <v>5</v>
      </c>
      <c r="D1379" s="1" t="s">
        <v>9</v>
      </c>
      <c r="E1379" s="1">
        <v>1.68313860893249</v>
      </c>
      <c r="F1379" s="1">
        <f>Tabla1[[#This Row],[tiempo]]/(IF(Tabla1[[#This Row],[tamanho]]=$I$3,$L$3,IF(Tabla1[[#This Row],[tamanho]]=$I$4,$L$4,IF(Tabla1[[#This Row],[tamanho]]=$I$5,$L$5,IF(Tabla1[[#This Row],[tamanho]]=$I$6,$L$6,0))))*IF(C1379="8_1",9,25))</f>
        <v>1.0190353254241937E-6</v>
      </c>
    </row>
    <row r="1380" spans="1:6" ht="12.75" x14ac:dyDescent="0.2">
      <c r="A1380" s="1">
        <v>57</v>
      </c>
      <c r="B1380" s="1">
        <v>2</v>
      </c>
      <c r="C1380" s="1" t="s">
        <v>7</v>
      </c>
      <c r="D1380" s="1" t="s">
        <v>9</v>
      </c>
      <c r="E1380" s="1">
        <v>1.90629911422729</v>
      </c>
      <c r="F1380" s="1">
        <f>Tabla1[[#This Row],[tiempo]]/(IF(Tabla1[[#This Row],[tamanho]]=$I$3,$L$3,IF(Tabla1[[#This Row],[tamanho]]=$I$4,$L$4,IF(Tabla1[[#This Row],[tamanho]]=$I$5,$L$5,IF(Tabla1[[#This Row],[tamanho]]=$I$6,$L$6,0))))*IF(C1380="8_1",9,25))</f>
        <v>4.1549222746641605E-7</v>
      </c>
    </row>
    <row r="1381" spans="1:6" ht="12.75" x14ac:dyDescent="0.2">
      <c r="A1381" s="1">
        <v>57</v>
      </c>
      <c r="B1381" s="1">
        <v>2</v>
      </c>
      <c r="C1381" s="1" t="s">
        <v>8</v>
      </c>
      <c r="D1381" s="1" t="s">
        <v>9</v>
      </c>
      <c r="E1381" s="1">
        <v>1.91575503349304</v>
      </c>
      <c r="F1381" s="1">
        <f>Tabla1[[#This Row],[tiempo]]/(IF(Tabla1[[#This Row],[tamanho]]=$I$3,$L$3,IF(Tabla1[[#This Row],[tamanho]]=$I$4,$L$4,IF(Tabla1[[#This Row],[tamanho]]=$I$5,$L$5,IF(Tabla1[[#This Row],[tamanho]]=$I$6,$L$6,0))))*IF(C1381="8_1",9,25))</f>
        <v>4.1755321617964928E-7</v>
      </c>
    </row>
    <row r="1382" spans="1:6" ht="12.75" x14ac:dyDescent="0.2">
      <c r="A1382" s="1">
        <v>57</v>
      </c>
      <c r="B1382" s="1">
        <v>3</v>
      </c>
      <c r="C1382" s="1" t="s">
        <v>5</v>
      </c>
      <c r="D1382" s="1" t="s">
        <v>6</v>
      </c>
      <c r="E1382" s="1">
        <v>3.8421032428741402</v>
      </c>
      <c r="F1382" s="1">
        <f>Tabla1[[#This Row],[tiempo]]/(IF(Tabla1[[#This Row],[tamanho]]=$I$3,$L$3,IF(Tabla1[[#This Row],[tamanho]]=$I$4,$L$4,IF(Tabla1[[#This Row],[tamanho]]=$I$5,$L$5,IF(Tabla1[[#This Row],[tamanho]]=$I$6,$L$6,0))))*IF(C1382="8_1",9,25))</f>
        <v>1.0330242256422795E-6</v>
      </c>
    </row>
    <row r="1383" spans="1:6" ht="12.75" x14ac:dyDescent="0.2">
      <c r="A1383" s="1">
        <v>57</v>
      </c>
      <c r="B1383" s="1">
        <v>3</v>
      </c>
      <c r="C1383" s="1" t="s">
        <v>7</v>
      </c>
      <c r="D1383" s="1" t="s">
        <v>6</v>
      </c>
      <c r="E1383" s="1">
        <v>4.2864098548889098</v>
      </c>
      <c r="F1383" s="1">
        <f>Tabla1[[#This Row],[tiempo]]/(IF(Tabla1[[#This Row],[tamanho]]=$I$3,$L$3,IF(Tabla1[[#This Row],[tamanho]]=$I$4,$L$4,IF(Tabla1[[#This Row],[tamanho]]=$I$5,$L$5,IF(Tabla1[[#This Row],[tamanho]]=$I$6,$L$6,0))))*IF(C1383="8_1",9,25))</f>
        <v>4.1489449367713336E-7</v>
      </c>
    </row>
    <row r="1384" spans="1:6" ht="12.75" x14ac:dyDescent="0.2">
      <c r="A1384" s="1">
        <v>57</v>
      </c>
      <c r="B1384" s="1">
        <v>3</v>
      </c>
      <c r="C1384" s="1" t="s">
        <v>8</v>
      </c>
      <c r="D1384" s="1" t="s">
        <v>6</v>
      </c>
      <c r="E1384" s="1">
        <v>4.3847048282623202</v>
      </c>
      <c r="F1384" s="1">
        <f>Tabla1[[#This Row],[tiempo]]/(IF(Tabla1[[#This Row],[tamanho]]=$I$3,$L$3,IF(Tabla1[[#This Row],[tamanho]]=$I$4,$L$4,IF(Tabla1[[#This Row],[tamanho]]=$I$5,$L$5,IF(Tabla1[[#This Row],[tamanho]]=$I$6,$L$6,0))))*IF(C1384="8_1",9,25))</f>
        <v>4.24408759598824E-7</v>
      </c>
    </row>
    <row r="1385" spans="1:6" ht="12.75" x14ac:dyDescent="0.2">
      <c r="A1385" s="1">
        <v>57</v>
      </c>
      <c r="B1385" s="1">
        <v>3</v>
      </c>
      <c r="C1385" s="1" t="s">
        <v>5</v>
      </c>
      <c r="D1385" s="1" t="s">
        <v>9</v>
      </c>
      <c r="E1385" s="1">
        <v>3.87407946586608</v>
      </c>
      <c r="F1385" s="1">
        <f>Tabla1[[#This Row],[tiempo]]/(IF(Tabla1[[#This Row],[tamanho]]=$I$3,$L$3,IF(Tabla1[[#This Row],[tamanho]]=$I$4,$L$4,IF(Tabla1[[#This Row],[tamanho]]=$I$5,$L$5,IF(Tabla1[[#This Row],[tamanho]]=$I$6,$L$6,0))))*IF(C1385="8_1",9,25))</f>
        <v>1.0416216554631667E-6</v>
      </c>
    </row>
    <row r="1386" spans="1:6" ht="12.75" x14ac:dyDescent="0.2">
      <c r="A1386" s="1">
        <v>57</v>
      </c>
      <c r="B1386" s="1">
        <v>3</v>
      </c>
      <c r="C1386" s="1" t="s">
        <v>7</v>
      </c>
      <c r="D1386" s="1" t="s">
        <v>9</v>
      </c>
      <c r="E1386" s="1">
        <v>4.3193435668945304</v>
      </c>
      <c r="F1386" s="1">
        <f>Tabla1[[#This Row],[tiempo]]/(IF(Tabla1[[#This Row],[tamanho]]=$I$3,$L$3,IF(Tabla1[[#This Row],[tamanho]]=$I$4,$L$4,IF(Tabla1[[#This Row],[tamanho]]=$I$5,$L$5,IF(Tabla1[[#This Row],[tamanho]]=$I$6,$L$6,0))))*IF(C1386="8_1",9,25))</f>
        <v>4.1808224665224744E-7</v>
      </c>
    </row>
    <row r="1387" spans="1:6" ht="12.75" x14ac:dyDescent="0.2">
      <c r="A1387" s="1">
        <v>57</v>
      </c>
      <c r="B1387" s="1">
        <v>3</v>
      </c>
      <c r="C1387" s="1" t="s">
        <v>8</v>
      </c>
      <c r="D1387" s="1" t="s">
        <v>9</v>
      </c>
      <c r="E1387" s="1">
        <v>4.4098227024078298</v>
      </c>
      <c r="F1387" s="1">
        <f>Tabla1[[#This Row],[tiempo]]/(IF(Tabla1[[#This Row],[tamanho]]=$I$3,$L$3,IF(Tabla1[[#This Row],[tamanho]]=$I$4,$L$4,IF(Tabla1[[#This Row],[tamanho]]=$I$5,$L$5,IF(Tabla1[[#This Row],[tamanho]]=$I$6,$L$6,0))))*IF(C1387="8_1",9,25))</f>
        <v>4.2683999413510171E-7</v>
      </c>
    </row>
    <row r="1388" spans="1:6" ht="12.75" x14ac:dyDescent="0.2">
      <c r="A1388" s="1">
        <v>57</v>
      </c>
      <c r="B1388" s="1">
        <v>4</v>
      </c>
      <c r="C1388" s="1" t="s">
        <v>5</v>
      </c>
      <c r="D1388" s="1" t="s">
        <v>6</v>
      </c>
      <c r="E1388" s="1">
        <v>6.9431827068328804</v>
      </c>
      <c r="F1388" s="1">
        <f>Tabla1[[#This Row],[tiempo]]/(IF(Tabla1[[#This Row],[tamanho]]=$I$3,$L$3,IF(Tabla1[[#This Row],[tamanho]]=$I$4,$L$4,IF(Tabla1[[#This Row],[tamanho]]=$I$5,$L$5,IF(Tabla1[[#This Row],[tamanho]]=$I$6,$L$6,0))))*IF(C1388="8_1",9,25))</f>
        <v>1.0484664308295201E-6</v>
      </c>
    </row>
    <row r="1389" spans="1:6" ht="12.75" x14ac:dyDescent="0.2">
      <c r="A1389" s="1">
        <v>57</v>
      </c>
      <c r="B1389" s="1">
        <v>4</v>
      </c>
      <c r="C1389" s="1" t="s">
        <v>7</v>
      </c>
      <c r="D1389" s="1" t="s">
        <v>6</v>
      </c>
      <c r="E1389" s="1">
        <v>7.8093020915985099</v>
      </c>
      <c r="F1389" s="1">
        <f>Tabla1[[#This Row],[tiempo]]/(IF(Tabla1[[#This Row],[tamanho]]=$I$3,$L$3,IF(Tabla1[[#This Row],[tamanho]]=$I$4,$L$4,IF(Tabla1[[#This Row],[tamanho]]=$I$5,$L$5,IF(Tabla1[[#This Row],[tamanho]]=$I$6,$L$6,0))))*IF(C1389="8_1",9,25))</f>
        <v>4.2453222352170402E-7</v>
      </c>
    </row>
    <row r="1390" spans="1:6" ht="12.75" x14ac:dyDescent="0.2">
      <c r="A1390" s="1">
        <v>57</v>
      </c>
      <c r="B1390" s="1">
        <v>4</v>
      </c>
      <c r="C1390" s="1" t="s">
        <v>8</v>
      </c>
      <c r="D1390" s="1" t="s">
        <v>6</v>
      </c>
      <c r="E1390" s="1">
        <v>7.7726597785949698</v>
      </c>
      <c r="F1390" s="1">
        <f>Tabla1[[#This Row],[tiempo]]/(IF(Tabla1[[#This Row],[tamanho]]=$I$3,$L$3,IF(Tabla1[[#This Row],[tamanho]]=$I$4,$L$4,IF(Tabla1[[#This Row],[tamanho]]=$I$5,$L$5,IF(Tabla1[[#This Row],[tamanho]]=$I$6,$L$6,0))))*IF(C1390="8_1",9,25))</f>
        <v>4.2254026029222331E-7</v>
      </c>
    </row>
    <row r="1391" spans="1:6" ht="12.75" x14ac:dyDescent="0.2">
      <c r="A1391" s="1">
        <v>57</v>
      </c>
      <c r="B1391" s="1">
        <v>4</v>
      </c>
      <c r="C1391" s="1" t="s">
        <v>5</v>
      </c>
      <c r="D1391" s="1" t="s">
        <v>9</v>
      </c>
      <c r="E1391" s="1">
        <v>6.98238205909729</v>
      </c>
      <c r="F1391" s="1">
        <f>Tabla1[[#This Row],[tiempo]]/(IF(Tabla1[[#This Row],[tamanho]]=$I$3,$L$3,IF(Tabla1[[#This Row],[tamanho]]=$I$4,$L$4,IF(Tabla1[[#This Row],[tamanho]]=$I$5,$L$5,IF(Tabla1[[#This Row],[tamanho]]=$I$6,$L$6,0))))*IF(C1391="8_1",9,25))</f>
        <v>1.0543857918336672E-6</v>
      </c>
    </row>
    <row r="1392" spans="1:6" ht="12.75" x14ac:dyDescent="0.2">
      <c r="A1392" s="1">
        <v>57</v>
      </c>
      <c r="B1392" s="1">
        <v>4</v>
      </c>
      <c r="C1392" s="1" t="s">
        <v>7</v>
      </c>
      <c r="D1392" s="1" t="s">
        <v>9</v>
      </c>
      <c r="E1392" s="1">
        <v>7.8945345878601003</v>
      </c>
      <c r="F1392" s="1">
        <f>Tabla1[[#This Row],[tiempo]]/(IF(Tabla1[[#This Row],[tamanho]]=$I$3,$L$3,IF(Tabla1[[#This Row],[tamanho]]=$I$4,$L$4,IF(Tabla1[[#This Row],[tamanho]]=$I$5,$L$5,IF(Tabla1[[#This Row],[tamanho]]=$I$6,$L$6,0))))*IF(C1392="8_1",9,25))</f>
        <v>4.2916566460642865E-7</v>
      </c>
    </row>
    <row r="1393" spans="1:6" ht="12.75" x14ac:dyDescent="0.2">
      <c r="A1393" s="1">
        <v>57</v>
      </c>
      <c r="B1393" s="1">
        <v>4</v>
      </c>
      <c r="C1393" s="1" t="s">
        <v>8</v>
      </c>
      <c r="D1393" s="1" t="s">
        <v>9</v>
      </c>
      <c r="E1393" s="1">
        <v>7.93515753746032</v>
      </c>
      <c r="F1393" s="1">
        <f>Tabla1[[#This Row],[tiempo]]/(IF(Tabla1[[#This Row],[tamanho]]=$I$3,$L$3,IF(Tabla1[[#This Row],[tamanho]]=$I$4,$L$4,IF(Tabla1[[#This Row],[tamanho]]=$I$5,$L$5,IF(Tabla1[[#This Row],[tamanho]]=$I$6,$L$6,0))))*IF(C1393="8_1",9,25))</f>
        <v>4.3137402470282507E-7</v>
      </c>
    </row>
    <row r="1394" spans="1:6" ht="12.75" x14ac:dyDescent="0.2">
      <c r="A1394" s="1">
        <v>58</v>
      </c>
      <c r="B1394" s="1">
        <v>1</v>
      </c>
      <c r="C1394" s="1" t="s">
        <v>5</v>
      </c>
      <c r="D1394" s="1" t="s">
        <v>6</v>
      </c>
      <c r="E1394" s="1">
        <v>0.412768363952636</v>
      </c>
      <c r="F1394" s="1">
        <f>Tabla1[[#This Row],[tiempo]]/(IF(Tabla1[[#This Row],[tamanho]]=$I$3,$L$3,IF(Tabla1[[#This Row],[tamanho]]=$I$4,$L$4,IF(Tabla1[[#This Row],[tamanho]]=$I$5,$L$5,IF(Tabla1[[#This Row],[tamanho]]=$I$6,$L$6,0))))*IF(C1394="8_1",9,25))</f>
        <v>1.7010923760354915E-6</v>
      </c>
    </row>
    <row r="1395" spans="1:6" ht="12.75" x14ac:dyDescent="0.2">
      <c r="A1395" s="1">
        <v>58</v>
      </c>
      <c r="B1395" s="1">
        <v>1</v>
      </c>
      <c r="C1395" s="1" t="s">
        <v>7</v>
      </c>
      <c r="D1395" s="1" t="s">
        <v>6</v>
      </c>
      <c r="E1395" s="1">
        <v>0.46607542037963801</v>
      </c>
      <c r="F1395" s="1">
        <f>Tabla1[[#This Row],[tiempo]]/(IF(Tabla1[[#This Row],[tamanho]]=$I$3,$L$3,IF(Tabla1[[#This Row],[tamanho]]=$I$4,$L$4,IF(Tabla1[[#This Row],[tamanho]]=$I$5,$L$5,IF(Tabla1[[#This Row],[tamanho]]=$I$6,$L$6,0))))*IF(C1395="8_1",9,25))</f>
        <v>6.9148091002505541E-7</v>
      </c>
    </row>
    <row r="1396" spans="1:6" ht="12.75" x14ac:dyDescent="0.2">
      <c r="A1396" s="1">
        <v>58</v>
      </c>
      <c r="B1396" s="1">
        <v>1</v>
      </c>
      <c r="C1396" s="1" t="s">
        <v>8</v>
      </c>
      <c r="D1396" s="1" t="s">
        <v>6</v>
      </c>
      <c r="E1396" s="1">
        <v>0.46464705467224099</v>
      </c>
      <c r="F1396" s="1">
        <f>Tabla1[[#This Row],[tiempo]]/(IF(Tabla1[[#This Row],[tamanho]]=$I$3,$L$3,IF(Tabla1[[#This Row],[tamanho]]=$I$4,$L$4,IF(Tabla1[[#This Row],[tamanho]]=$I$5,$L$5,IF(Tabla1[[#This Row],[tamanho]]=$I$6,$L$6,0))))*IF(C1396="8_1",9,25))</f>
        <v>6.8936175167425683E-7</v>
      </c>
    </row>
    <row r="1397" spans="1:6" ht="12.75" x14ac:dyDescent="0.2">
      <c r="A1397" s="1">
        <v>58</v>
      </c>
      <c r="B1397" s="1">
        <v>1</v>
      </c>
      <c r="C1397" s="1" t="s">
        <v>5</v>
      </c>
      <c r="D1397" s="1" t="s">
        <v>9</v>
      </c>
      <c r="E1397" s="1">
        <v>0.41510605812072698</v>
      </c>
      <c r="F1397" s="1">
        <f>Tabla1[[#This Row],[tiempo]]/(IF(Tabla1[[#This Row],[tamanho]]=$I$3,$L$3,IF(Tabla1[[#This Row],[tamanho]]=$I$4,$L$4,IF(Tabla1[[#This Row],[tamanho]]=$I$5,$L$5,IF(Tabla1[[#This Row],[tamanho]]=$I$6,$L$6,0))))*IF(C1397="8_1",9,25))</f>
        <v>1.7107264325042632E-6</v>
      </c>
    </row>
    <row r="1398" spans="1:6" ht="12.75" x14ac:dyDescent="0.2">
      <c r="A1398" s="1">
        <v>58</v>
      </c>
      <c r="B1398" s="1">
        <v>1</v>
      </c>
      <c r="C1398" s="1" t="s">
        <v>7</v>
      </c>
      <c r="D1398" s="1" t="s">
        <v>9</v>
      </c>
      <c r="E1398" s="1">
        <v>0.46458077430725098</v>
      </c>
      <c r="F1398" s="1">
        <f>Tabla1[[#This Row],[tiempo]]/(IF(Tabla1[[#This Row],[tamanho]]=$I$3,$L$3,IF(Tabla1[[#This Row],[tamanho]]=$I$4,$L$4,IF(Tabla1[[#This Row],[tamanho]]=$I$5,$L$5,IF(Tabla1[[#This Row],[tamanho]]=$I$6,$L$6,0))))*IF(C1398="8_1",9,25))</f>
        <v>6.89263416501244E-7</v>
      </c>
    </row>
    <row r="1399" spans="1:6" ht="12.75" x14ac:dyDescent="0.2">
      <c r="A1399" s="1">
        <v>58</v>
      </c>
      <c r="B1399" s="1">
        <v>1</v>
      </c>
      <c r="C1399" s="1" t="s">
        <v>8</v>
      </c>
      <c r="D1399" s="1" t="s">
        <v>9</v>
      </c>
      <c r="E1399" s="1">
        <v>0.47324705123901301</v>
      </c>
      <c r="F1399" s="1">
        <f>Tabla1[[#This Row],[tiempo]]/(IF(Tabla1[[#This Row],[tamanho]]=$I$3,$L$3,IF(Tabla1[[#This Row],[tamanho]]=$I$4,$L$4,IF(Tabla1[[#This Row],[tamanho]]=$I$5,$L$5,IF(Tabla1[[#This Row],[tamanho]]=$I$6,$L$6,0))))*IF(C1399="8_1",9,25))</f>
        <v>7.0212091723454319E-7</v>
      </c>
    </row>
    <row r="1400" spans="1:6" ht="12.75" x14ac:dyDescent="0.2">
      <c r="A1400" s="1">
        <v>58</v>
      </c>
      <c r="B1400" s="1">
        <v>2</v>
      </c>
      <c r="C1400" s="1" t="s">
        <v>5</v>
      </c>
      <c r="D1400" s="1" t="s">
        <v>6</v>
      </c>
      <c r="E1400" s="1">
        <v>1.7289443016052199</v>
      </c>
      <c r="F1400" s="1">
        <f>Tabla1[[#This Row],[tiempo]]/(IF(Tabla1[[#This Row],[tamanho]]=$I$3,$L$3,IF(Tabla1[[#This Row],[tamanho]]=$I$4,$L$4,IF(Tabla1[[#This Row],[tamanho]]=$I$5,$L$5,IF(Tabla1[[#This Row],[tamanho]]=$I$6,$L$6,0))))*IF(C1400="8_1",9,25))</f>
        <v>1.046767812036595E-6</v>
      </c>
    </row>
    <row r="1401" spans="1:6" ht="12.75" x14ac:dyDescent="0.2">
      <c r="A1401" s="1">
        <v>58</v>
      </c>
      <c r="B1401" s="1">
        <v>2</v>
      </c>
      <c r="C1401" s="1" t="s">
        <v>7</v>
      </c>
      <c r="D1401" s="1" t="s">
        <v>6</v>
      </c>
      <c r="E1401" s="1">
        <v>1.9373800754547099</v>
      </c>
      <c r="F1401" s="1">
        <f>Tabla1[[#This Row],[tiempo]]/(IF(Tabla1[[#This Row],[tamanho]]=$I$3,$L$3,IF(Tabla1[[#This Row],[tamanho]]=$I$4,$L$4,IF(Tabla1[[#This Row],[tamanho]]=$I$5,$L$5,IF(Tabla1[[#This Row],[tamanho]]=$I$6,$L$6,0))))*IF(C1401="8_1",9,25))</f>
        <v>4.2226655669722647E-7</v>
      </c>
    </row>
    <row r="1402" spans="1:6" ht="12.75" x14ac:dyDescent="0.2">
      <c r="A1402" s="1">
        <v>58</v>
      </c>
      <c r="B1402" s="1">
        <v>2</v>
      </c>
      <c r="C1402" s="1" t="s">
        <v>8</v>
      </c>
      <c r="D1402" s="1" t="s">
        <v>6</v>
      </c>
      <c r="E1402" s="1">
        <v>1.9312081336975</v>
      </c>
      <c r="F1402" s="1">
        <f>Tabla1[[#This Row],[tiempo]]/(IF(Tabla1[[#This Row],[tamanho]]=$I$3,$L$3,IF(Tabla1[[#This Row],[tamanho]]=$I$4,$L$4,IF(Tabla1[[#This Row],[tamanho]]=$I$5,$L$5,IF(Tabla1[[#This Row],[tamanho]]=$I$6,$L$6,0))))*IF(C1402="8_1",9,25))</f>
        <v>4.2092133557775091E-7</v>
      </c>
    </row>
    <row r="1403" spans="1:6" ht="12.75" x14ac:dyDescent="0.2">
      <c r="A1403" s="1">
        <v>58</v>
      </c>
      <c r="B1403" s="1">
        <v>2</v>
      </c>
      <c r="C1403" s="1" t="s">
        <v>5</v>
      </c>
      <c r="D1403" s="1" t="s">
        <v>9</v>
      </c>
      <c r="E1403" s="1">
        <v>1.7183585166931099</v>
      </c>
      <c r="F1403" s="1">
        <f>Tabla1[[#This Row],[tiempo]]/(IF(Tabla1[[#This Row],[tamanho]]=$I$3,$L$3,IF(Tabla1[[#This Row],[tamanho]]=$I$4,$L$4,IF(Tabla1[[#This Row],[tamanho]]=$I$5,$L$5,IF(Tabla1[[#This Row],[tamanho]]=$I$6,$L$6,0))))*IF(C1403="8_1",9,25))</f>
        <v>1.0403587802934374E-6</v>
      </c>
    </row>
    <row r="1404" spans="1:6" ht="12.75" x14ac:dyDescent="0.2">
      <c r="A1404" s="1">
        <v>58</v>
      </c>
      <c r="B1404" s="1">
        <v>2</v>
      </c>
      <c r="C1404" s="1" t="s">
        <v>7</v>
      </c>
      <c r="D1404" s="1" t="s">
        <v>9</v>
      </c>
      <c r="E1404" s="1">
        <v>1.9061405658721899</v>
      </c>
      <c r="F1404" s="1">
        <f>Tabla1[[#This Row],[tiempo]]/(IF(Tabla1[[#This Row],[tamanho]]=$I$3,$L$3,IF(Tabla1[[#This Row],[tamanho]]=$I$4,$L$4,IF(Tabla1[[#This Row],[tamanho]]=$I$5,$L$5,IF(Tabla1[[#This Row],[tamanho]]=$I$6,$L$6,0))))*IF(C1404="8_1",9,25))</f>
        <v>4.1545767066012576E-7</v>
      </c>
    </row>
    <row r="1405" spans="1:6" ht="12.75" x14ac:dyDescent="0.2">
      <c r="A1405" s="1">
        <v>58</v>
      </c>
      <c r="B1405" s="1">
        <v>2</v>
      </c>
      <c r="C1405" s="1" t="s">
        <v>8</v>
      </c>
      <c r="D1405" s="1" t="s">
        <v>9</v>
      </c>
      <c r="E1405" s="1">
        <v>1.95311427116394</v>
      </c>
      <c r="F1405" s="1">
        <f>Tabla1[[#This Row],[tiempo]]/(IF(Tabla1[[#This Row],[tamanho]]=$I$3,$L$3,IF(Tabla1[[#This Row],[tamanho]]=$I$4,$L$4,IF(Tabla1[[#This Row],[tamanho]]=$I$5,$L$5,IF(Tabla1[[#This Row],[tamanho]]=$I$6,$L$6,0))))*IF(C1405="8_1",9,25))</f>
        <v>4.2569594297445318E-7</v>
      </c>
    </row>
    <row r="1406" spans="1:6" ht="12.75" x14ac:dyDescent="0.2">
      <c r="A1406" s="1">
        <v>58</v>
      </c>
      <c r="B1406" s="1">
        <v>3</v>
      </c>
      <c r="C1406" s="1" t="s">
        <v>5</v>
      </c>
      <c r="D1406" s="1" t="s">
        <v>6</v>
      </c>
      <c r="E1406" s="1">
        <v>3.8840596675872798</v>
      </c>
      <c r="F1406" s="1">
        <f>Tabla1[[#This Row],[tiempo]]/(IF(Tabla1[[#This Row],[tamanho]]=$I$3,$L$3,IF(Tabla1[[#This Row],[tamanho]]=$I$4,$L$4,IF(Tabla1[[#This Row],[tamanho]]=$I$5,$L$5,IF(Tabla1[[#This Row],[tamanho]]=$I$6,$L$6,0))))*IF(C1406="8_1",9,25))</f>
        <v>1.0443050269144459E-6</v>
      </c>
    </row>
    <row r="1407" spans="1:6" ht="12.75" x14ac:dyDescent="0.2">
      <c r="A1407" s="1">
        <v>58</v>
      </c>
      <c r="B1407" s="1">
        <v>3</v>
      </c>
      <c r="C1407" s="1" t="s">
        <v>7</v>
      </c>
      <c r="D1407" s="1" t="s">
        <v>6</v>
      </c>
      <c r="E1407" s="1">
        <v>4.3596961498260498</v>
      </c>
      <c r="F1407" s="1">
        <f>Tabla1[[#This Row],[tiempo]]/(IF(Tabla1[[#This Row],[tamanho]]=$I$3,$L$3,IF(Tabla1[[#This Row],[tamanho]]=$I$4,$L$4,IF(Tabla1[[#This Row],[tamanho]]=$I$5,$L$5,IF(Tabla1[[#This Row],[tamanho]]=$I$6,$L$6,0))))*IF(C1407="8_1",9,25))</f>
        <v>4.2198809444345711E-7</v>
      </c>
    </row>
    <row r="1408" spans="1:6" ht="12.75" x14ac:dyDescent="0.2">
      <c r="A1408" s="1">
        <v>58</v>
      </c>
      <c r="B1408" s="1">
        <v>3</v>
      </c>
      <c r="C1408" s="1" t="s">
        <v>8</v>
      </c>
      <c r="D1408" s="1" t="s">
        <v>6</v>
      </c>
      <c r="E1408" s="1">
        <v>4.4135408401489196</v>
      </c>
      <c r="F1408" s="1">
        <f>Tabla1[[#This Row],[tiempo]]/(IF(Tabla1[[#This Row],[tamanho]]=$I$3,$L$3,IF(Tabla1[[#This Row],[tamanho]]=$I$4,$L$4,IF(Tabla1[[#This Row],[tamanho]]=$I$5,$L$5,IF(Tabla1[[#This Row],[tamanho]]=$I$6,$L$6,0))))*IF(C1408="8_1",9,25))</f>
        <v>4.2719988386280747E-7</v>
      </c>
    </row>
    <row r="1409" spans="1:6" ht="12.75" x14ac:dyDescent="0.2">
      <c r="A1409" s="1">
        <v>58</v>
      </c>
      <c r="B1409" s="1">
        <v>3</v>
      </c>
      <c r="C1409" s="1" t="s">
        <v>5</v>
      </c>
      <c r="D1409" s="1" t="s">
        <v>9</v>
      </c>
      <c r="E1409" s="1">
        <v>3.9069249629974299</v>
      </c>
      <c r="F1409" s="1">
        <f>Tabla1[[#This Row],[tiempo]]/(IF(Tabla1[[#This Row],[tamanho]]=$I$3,$L$3,IF(Tabla1[[#This Row],[tamanho]]=$I$4,$L$4,IF(Tabla1[[#This Row],[tamanho]]=$I$5,$L$5,IF(Tabla1[[#This Row],[tamanho]]=$I$6,$L$6,0))))*IF(C1409="8_1",9,25))</f>
        <v>1.0504528065528407E-6</v>
      </c>
    </row>
    <row r="1410" spans="1:6" ht="12.75" x14ac:dyDescent="0.2">
      <c r="A1410" s="1">
        <v>58</v>
      </c>
      <c r="B1410" s="1">
        <v>3</v>
      </c>
      <c r="C1410" s="1" t="s">
        <v>7</v>
      </c>
      <c r="D1410" s="1" t="s">
        <v>9</v>
      </c>
      <c r="E1410" s="1">
        <v>4.38952589035034</v>
      </c>
      <c r="F1410" s="1">
        <f>Tabla1[[#This Row],[tiempo]]/(IF(Tabla1[[#This Row],[tamanho]]=$I$3,$L$3,IF(Tabla1[[#This Row],[tamanho]]=$I$4,$L$4,IF(Tabla1[[#This Row],[tamanho]]=$I$5,$L$5,IF(Tabla1[[#This Row],[tamanho]]=$I$6,$L$6,0))))*IF(C1410="8_1",9,25))</f>
        <v>4.2487540468917007E-7</v>
      </c>
    </row>
    <row r="1411" spans="1:6" ht="12.75" x14ac:dyDescent="0.2">
      <c r="A1411" s="1">
        <v>58</v>
      </c>
      <c r="B1411" s="1">
        <v>3</v>
      </c>
      <c r="C1411" s="1" t="s">
        <v>8</v>
      </c>
      <c r="D1411" s="1" t="s">
        <v>9</v>
      </c>
      <c r="E1411" s="1">
        <v>4.4416923522949201</v>
      </c>
      <c r="F1411" s="1">
        <f>Tabla1[[#This Row],[tiempo]]/(IF(Tabla1[[#This Row],[tamanho]]=$I$3,$L$3,IF(Tabla1[[#This Row],[tamanho]]=$I$4,$L$4,IF(Tabla1[[#This Row],[tamanho]]=$I$5,$L$5,IF(Tabla1[[#This Row],[tamanho]]=$I$6,$L$6,0))))*IF(C1411="8_1",9,25))</f>
        <v>4.2992475333947197E-7</v>
      </c>
    </row>
    <row r="1412" spans="1:6" ht="12.75" x14ac:dyDescent="0.2">
      <c r="A1412" s="1">
        <v>58</v>
      </c>
      <c r="B1412" s="1">
        <v>4</v>
      </c>
      <c r="C1412" s="1" t="s">
        <v>5</v>
      </c>
      <c r="D1412" s="1" t="s">
        <v>6</v>
      </c>
      <c r="E1412" s="1">
        <v>6.9945518970489502</v>
      </c>
      <c r="F1412" s="1">
        <f>Tabla1[[#This Row],[tiempo]]/(IF(Tabla1[[#This Row],[tamanho]]=$I$3,$L$3,IF(Tabla1[[#This Row],[tamanho]]=$I$4,$L$4,IF(Tabla1[[#This Row],[tamanho]]=$I$5,$L$5,IF(Tabla1[[#This Row],[tamanho]]=$I$6,$L$6,0))))*IF(C1412="8_1",9,25))</f>
        <v>1.0562235177152564E-6</v>
      </c>
    </row>
    <row r="1413" spans="1:6" ht="12.75" x14ac:dyDescent="0.2">
      <c r="A1413" s="1">
        <v>58</v>
      </c>
      <c r="B1413" s="1">
        <v>4</v>
      </c>
      <c r="C1413" s="1" t="s">
        <v>7</v>
      </c>
      <c r="D1413" s="1" t="s">
        <v>6</v>
      </c>
      <c r="E1413" s="1">
        <v>7.8537092208862296</v>
      </c>
      <c r="F1413" s="1">
        <f>Tabla1[[#This Row],[tiempo]]/(IF(Tabla1[[#This Row],[tamanho]]=$I$3,$L$3,IF(Tabla1[[#This Row],[tamanho]]=$I$4,$L$4,IF(Tabla1[[#This Row],[tamanho]]=$I$5,$L$5,IF(Tabla1[[#This Row],[tamanho]]=$I$6,$L$6,0))))*IF(C1413="8_1",9,25))</f>
        <v>4.2694630062047749E-7</v>
      </c>
    </row>
    <row r="1414" spans="1:6" ht="12.75" x14ac:dyDescent="0.2">
      <c r="A1414" s="1">
        <v>58</v>
      </c>
      <c r="B1414" s="1">
        <v>4</v>
      </c>
      <c r="C1414" s="1" t="s">
        <v>8</v>
      </c>
      <c r="D1414" s="1" t="s">
        <v>6</v>
      </c>
      <c r="E1414" s="1">
        <v>7.8407530784606898</v>
      </c>
      <c r="F1414" s="1">
        <f>Tabla1[[#This Row],[tiempo]]/(IF(Tabla1[[#This Row],[tamanho]]=$I$3,$L$3,IF(Tabla1[[#This Row],[tamanho]]=$I$4,$L$4,IF(Tabla1[[#This Row],[tamanho]]=$I$5,$L$5,IF(Tabla1[[#This Row],[tamanho]]=$I$6,$L$6,0))))*IF(C1414="8_1",9,25))</f>
        <v>4.262419739229489E-7</v>
      </c>
    </row>
    <row r="1415" spans="1:6" ht="12.75" x14ac:dyDescent="0.2">
      <c r="A1415" s="1">
        <v>58</v>
      </c>
      <c r="B1415" s="1">
        <v>4</v>
      </c>
      <c r="C1415" s="1" t="s">
        <v>5</v>
      </c>
      <c r="D1415" s="1" t="s">
        <v>9</v>
      </c>
      <c r="E1415" s="1">
        <v>7.0255815982818604</v>
      </c>
      <c r="F1415" s="1">
        <f>Tabla1[[#This Row],[tiempo]]/(IF(Tabla1[[#This Row],[tamanho]]=$I$3,$L$3,IF(Tabla1[[#This Row],[tamanho]]=$I$4,$L$4,IF(Tabla1[[#This Row],[tamanho]]=$I$5,$L$5,IF(Tabla1[[#This Row],[tamanho]]=$I$6,$L$6,0))))*IF(C1415="8_1",9,25))</f>
        <v>1.0609092074738393E-6</v>
      </c>
    </row>
    <row r="1416" spans="1:6" ht="12.75" x14ac:dyDescent="0.2">
      <c r="A1416" s="1">
        <v>58</v>
      </c>
      <c r="B1416" s="1">
        <v>4</v>
      </c>
      <c r="C1416" s="1" t="s">
        <v>7</v>
      </c>
      <c r="D1416" s="1" t="s">
        <v>9</v>
      </c>
      <c r="E1416" s="1">
        <v>7.82970690727233</v>
      </c>
      <c r="F1416" s="1">
        <f>Tabla1[[#This Row],[tiempo]]/(IF(Tabla1[[#This Row],[tamanho]]=$I$3,$L$3,IF(Tabla1[[#This Row],[tamanho]]=$I$4,$L$4,IF(Tabla1[[#This Row],[tamanho]]=$I$5,$L$5,IF(Tabla1[[#This Row],[tamanho]]=$I$6,$L$6,0))))*IF(C1416="8_1",9,25))</f>
        <v>4.2564147780165777E-7</v>
      </c>
    </row>
    <row r="1417" spans="1:6" ht="12.75" x14ac:dyDescent="0.2">
      <c r="A1417" s="1">
        <v>58</v>
      </c>
      <c r="B1417" s="1">
        <v>4</v>
      </c>
      <c r="C1417" s="1" t="s">
        <v>8</v>
      </c>
      <c r="D1417" s="1" t="s">
        <v>9</v>
      </c>
      <c r="E1417" s="1">
        <v>7.9149837493896404</v>
      </c>
      <c r="F1417" s="1">
        <f>Tabla1[[#This Row],[tiempo]]/(IF(Tabla1[[#This Row],[tamanho]]=$I$3,$L$3,IF(Tabla1[[#This Row],[tamanho]]=$I$4,$L$4,IF(Tabla1[[#This Row],[tamanho]]=$I$5,$L$5,IF(Tabla1[[#This Row],[tamanho]]=$I$6,$L$6,0))))*IF(C1417="8_1",9,25))</f>
        <v>4.3027732963250439E-7</v>
      </c>
    </row>
    <row r="1418" spans="1:6" ht="12.75" x14ac:dyDescent="0.2">
      <c r="A1418" s="1">
        <v>59</v>
      </c>
      <c r="B1418" s="1">
        <v>1</v>
      </c>
      <c r="C1418" s="1" t="s">
        <v>5</v>
      </c>
      <c r="D1418" s="1" t="s">
        <v>6</v>
      </c>
      <c r="E1418" s="1">
        <v>0.4169602394104</v>
      </c>
      <c r="F1418" s="1">
        <f>Tabla1[[#This Row],[tiempo]]/(IF(Tabla1[[#This Row],[tamanho]]=$I$3,$L$3,IF(Tabla1[[#This Row],[tamanho]]=$I$4,$L$4,IF(Tabla1[[#This Row],[tamanho]]=$I$5,$L$5,IF(Tabla1[[#This Row],[tamanho]]=$I$6,$L$6,0))))*IF(C1418="8_1",9,25))</f>
        <v>1.7183678457788822E-6</v>
      </c>
    </row>
    <row r="1419" spans="1:6" ht="12.75" x14ac:dyDescent="0.2">
      <c r="A1419" s="1">
        <v>59</v>
      </c>
      <c r="B1419" s="1">
        <v>1</v>
      </c>
      <c r="C1419" s="1" t="s">
        <v>7</v>
      </c>
      <c r="D1419" s="1" t="s">
        <v>6</v>
      </c>
      <c r="E1419" s="1">
        <v>0.46597790718078602</v>
      </c>
      <c r="F1419" s="1">
        <f>Tabla1[[#This Row],[tiempo]]/(IF(Tabla1[[#This Row],[tamanho]]=$I$3,$L$3,IF(Tabla1[[#This Row],[tamanho]]=$I$4,$L$4,IF(Tabla1[[#This Row],[tamanho]]=$I$5,$L$5,IF(Tabla1[[#This Row],[tamanho]]=$I$6,$L$6,0))))*IF(C1419="8_1",9,25))</f>
        <v>6.9133623705468794E-7</v>
      </c>
    </row>
    <row r="1420" spans="1:6" ht="12.75" x14ac:dyDescent="0.2">
      <c r="A1420" s="1">
        <v>59</v>
      </c>
      <c r="B1420" s="1">
        <v>1</v>
      </c>
      <c r="C1420" s="1" t="s">
        <v>8</v>
      </c>
      <c r="D1420" s="1" t="s">
        <v>6</v>
      </c>
      <c r="E1420" s="1">
        <v>0.469666957855224</v>
      </c>
      <c r="F1420" s="1">
        <f>Tabla1[[#This Row],[tiempo]]/(IF(Tabla1[[#This Row],[tamanho]]=$I$3,$L$3,IF(Tabla1[[#This Row],[tamanho]]=$I$4,$L$4,IF(Tabla1[[#This Row],[tamanho]]=$I$5,$L$5,IF(Tabla1[[#This Row],[tamanho]]=$I$6,$L$6,0))))*IF(C1420="8_1",9,25))</f>
        <v>6.9680940299725377E-7</v>
      </c>
    </row>
    <row r="1421" spans="1:6" ht="12.75" x14ac:dyDescent="0.2">
      <c r="A1421" s="1">
        <v>59</v>
      </c>
      <c r="B1421" s="1">
        <v>1</v>
      </c>
      <c r="C1421" s="1" t="s">
        <v>5</v>
      </c>
      <c r="D1421" s="1" t="s">
        <v>9</v>
      </c>
      <c r="E1421" s="1">
        <v>0.41494488716125399</v>
      </c>
      <c r="F1421" s="1">
        <f>Tabla1[[#This Row],[tiempo]]/(IF(Tabla1[[#This Row],[tamanho]]=$I$3,$L$3,IF(Tabla1[[#This Row],[tamanho]]=$I$4,$L$4,IF(Tabla1[[#This Row],[tamanho]]=$I$5,$L$5,IF(Tabla1[[#This Row],[tamanho]]=$I$6,$L$6,0))))*IF(C1421="8_1",9,25))</f>
        <v>1.710062218106211E-6</v>
      </c>
    </row>
    <row r="1422" spans="1:6" ht="12.75" x14ac:dyDescent="0.2">
      <c r="A1422" s="1">
        <v>59</v>
      </c>
      <c r="B1422" s="1">
        <v>1</v>
      </c>
      <c r="C1422" s="1" t="s">
        <v>7</v>
      </c>
      <c r="D1422" s="1" t="s">
        <v>9</v>
      </c>
      <c r="E1422" s="1">
        <v>0.46923565864562899</v>
      </c>
      <c r="F1422" s="1">
        <f>Tabla1[[#This Row],[tiempo]]/(IF(Tabla1[[#This Row],[tamanho]]=$I$3,$L$3,IF(Tabla1[[#This Row],[tamanho]]=$I$4,$L$4,IF(Tabla1[[#This Row],[tamanho]]=$I$5,$L$5,IF(Tabla1[[#This Row],[tamanho]]=$I$6,$L$6,0))))*IF(C1422="8_1",9,25))</f>
        <v>6.9616951692537964E-7</v>
      </c>
    </row>
    <row r="1423" spans="1:6" ht="12.75" x14ac:dyDescent="0.2">
      <c r="A1423" s="1">
        <v>59</v>
      </c>
      <c r="B1423" s="1">
        <v>1</v>
      </c>
      <c r="C1423" s="1" t="s">
        <v>8</v>
      </c>
      <c r="D1423" s="1" t="s">
        <v>9</v>
      </c>
      <c r="E1423" s="1">
        <v>0.47629880905151301</v>
      </c>
      <c r="F1423" s="1">
        <f>Tabla1[[#This Row],[tiempo]]/(IF(Tabla1[[#This Row],[tamanho]]=$I$3,$L$3,IF(Tabla1[[#This Row],[tamanho]]=$I$4,$L$4,IF(Tabla1[[#This Row],[tamanho]]=$I$5,$L$5,IF(Tabla1[[#This Row],[tamanho]]=$I$6,$L$6,0))))*IF(C1423="8_1",9,25))</f>
        <v>7.0664857987687844E-7</v>
      </c>
    </row>
    <row r="1424" spans="1:6" ht="12.75" x14ac:dyDescent="0.2">
      <c r="A1424" s="1">
        <v>59</v>
      </c>
      <c r="B1424" s="1">
        <v>2</v>
      </c>
      <c r="C1424" s="1" t="s">
        <v>5</v>
      </c>
      <c r="D1424" s="1" t="s">
        <v>6</v>
      </c>
      <c r="E1424" s="1">
        <v>1.71430659294128</v>
      </c>
      <c r="F1424" s="1">
        <f>Tabla1[[#This Row],[tiempo]]/(IF(Tabla1[[#This Row],[tamanho]]=$I$3,$L$3,IF(Tabla1[[#This Row],[tamanho]]=$I$4,$L$4,IF(Tabla1[[#This Row],[tamanho]]=$I$5,$L$5,IF(Tabla1[[#This Row],[tamanho]]=$I$6,$L$6,0))))*IF(C1424="8_1",9,25))</f>
        <v>1.0379055934809391E-6</v>
      </c>
    </row>
    <row r="1425" spans="1:6" ht="12.75" x14ac:dyDescent="0.2">
      <c r="A1425" s="1">
        <v>59</v>
      </c>
      <c r="B1425" s="1">
        <v>2</v>
      </c>
      <c r="C1425" s="1" t="s">
        <v>7</v>
      </c>
      <c r="D1425" s="1" t="s">
        <v>6</v>
      </c>
      <c r="E1425" s="1">
        <v>1.9024238586425699</v>
      </c>
      <c r="F1425" s="1">
        <f>Tabla1[[#This Row],[tiempo]]/(IF(Tabla1[[#This Row],[tamanho]]=$I$3,$L$3,IF(Tabla1[[#This Row],[tamanho]]=$I$4,$L$4,IF(Tabla1[[#This Row],[tamanho]]=$I$5,$L$5,IF(Tabla1[[#This Row],[tamanho]]=$I$6,$L$6,0))))*IF(C1425="8_1",9,25))</f>
        <v>4.1464758636949684E-7</v>
      </c>
    </row>
    <row r="1426" spans="1:6" ht="12.75" x14ac:dyDescent="0.2">
      <c r="A1426" s="1">
        <v>59</v>
      </c>
      <c r="B1426" s="1">
        <v>2</v>
      </c>
      <c r="C1426" s="1" t="s">
        <v>8</v>
      </c>
      <c r="D1426" s="1" t="s">
        <v>6</v>
      </c>
      <c r="E1426" s="1">
        <v>1.9230091571807799</v>
      </c>
      <c r="F1426" s="1">
        <f>Tabla1[[#This Row],[tiempo]]/(IF(Tabla1[[#This Row],[tamanho]]=$I$3,$L$3,IF(Tabla1[[#This Row],[tamanho]]=$I$4,$L$4,IF(Tabla1[[#This Row],[tamanho]]=$I$5,$L$5,IF(Tabla1[[#This Row],[tamanho]]=$I$6,$L$6,0))))*IF(C1426="8_1",9,25))</f>
        <v>4.1913430698897785E-7</v>
      </c>
    </row>
    <row r="1427" spans="1:6" ht="12.75" x14ac:dyDescent="0.2">
      <c r="A1427" s="1">
        <v>59</v>
      </c>
      <c r="B1427" s="1">
        <v>2</v>
      </c>
      <c r="C1427" s="1" t="s">
        <v>5</v>
      </c>
      <c r="D1427" s="1" t="s">
        <v>9</v>
      </c>
      <c r="E1427" s="1">
        <v>1.7151472568511901</v>
      </c>
      <c r="F1427" s="1">
        <f>Tabla1[[#This Row],[tiempo]]/(IF(Tabla1[[#This Row],[tamanho]]=$I$3,$L$3,IF(Tabla1[[#This Row],[tamanho]]=$I$4,$L$4,IF(Tabla1[[#This Row],[tamanho]]=$I$5,$L$5,IF(Tabla1[[#This Row],[tamanho]]=$I$6,$L$6,0))))*IF(C1427="8_1",9,25))</f>
        <v>1.0384145629837841E-6</v>
      </c>
    </row>
    <row r="1428" spans="1:6" ht="12.75" x14ac:dyDescent="0.2">
      <c r="A1428" s="1">
        <v>59</v>
      </c>
      <c r="B1428" s="1">
        <v>2</v>
      </c>
      <c r="C1428" s="1" t="s">
        <v>7</v>
      </c>
      <c r="D1428" s="1" t="s">
        <v>9</v>
      </c>
      <c r="E1428" s="1">
        <v>1.92434954643249</v>
      </c>
      <c r="F1428" s="1">
        <f>Tabla1[[#This Row],[tiempo]]/(IF(Tabla1[[#This Row],[tamanho]]=$I$3,$L$3,IF(Tabla1[[#This Row],[tamanho]]=$I$4,$L$4,IF(Tabla1[[#This Row],[tamanho]]=$I$5,$L$5,IF(Tabla1[[#This Row],[tamanho]]=$I$6,$L$6,0))))*IF(C1428="8_1",9,25))</f>
        <v>4.1942645490622159E-7</v>
      </c>
    </row>
    <row r="1429" spans="1:6" ht="12.75" x14ac:dyDescent="0.2">
      <c r="A1429" s="1">
        <v>59</v>
      </c>
      <c r="B1429" s="1">
        <v>2</v>
      </c>
      <c r="C1429" s="1" t="s">
        <v>8</v>
      </c>
      <c r="D1429" s="1" t="s">
        <v>9</v>
      </c>
      <c r="E1429" s="1">
        <v>1.9303889274597099</v>
      </c>
      <c r="F1429" s="1">
        <f>Tabla1[[#This Row],[tiempo]]/(IF(Tabla1[[#This Row],[tamanho]]=$I$3,$L$3,IF(Tabla1[[#This Row],[tamanho]]=$I$4,$L$4,IF(Tabla1[[#This Row],[tamanho]]=$I$5,$L$5,IF(Tabla1[[#This Row],[tamanho]]=$I$6,$L$6,0))))*IF(C1429="8_1",9,25))</f>
        <v>4.2074278341772862E-7</v>
      </c>
    </row>
    <row r="1430" spans="1:6" ht="12.75" x14ac:dyDescent="0.2">
      <c r="A1430" s="1">
        <v>59</v>
      </c>
      <c r="B1430" s="1">
        <v>3</v>
      </c>
      <c r="C1430" s="1" t="s">
        <v>5</v>
      </c>
      <c r="D1430" s="1" t="s">
        <v>6</v>
      </c>
      <c r="E1430" s="1">
        <v>3.8325657844543399</v>
      </c>
      <c r="F1430" s="1">
        <f>Tabla1[[#This Row],[tiempo]]/(IF(Tabla1[[#This Row],[tamanho]]=$I$3,$L$3,IF(Tabla1[[#This Row],[tamanho]]=$I$4,$L$4,IF(Tabla1[[#This Row],[tamanho]]=$I$5,$L$5,IF(Tabla1[[#This Row],[tamanho]]=$I$6,$L$6,0))))*IF(C1430="8_1",9,25))</f>
        <v>1.0304598943435351E-6</v>
      </c>
    </row>
    <row r="1431" spans="1:6" ht="12.75" x14ac:dyDescent="0.2">
      <c r="A1431" s="1">
        <v>59</v>
      </c>
      <c r="B1431" s="1">
        <v>3</v>
      </c>
      <c r="C1431" s="1" t="s">
        <v>7</v>
      </c>
      <c r="D1431" s="1" t="s">
        <v>6</v>
      </c>
      <c r="E1431" s="1">
        <v>4.3326561450958199</v>
      </c>
      <c r="F1431" s="1">
        <f>Tabla1[[#This Row],[tiempo]]/(IF(Tabla1[[#This Row],[tamanho]]=$I$3,$L$3,IF(Tabla1[[#This Row],[tamanho]]=$I$4,$L$4,IF(Tabla1[[#This Row],[tamanho]]=$I$5,$L$5,IF(Tabla1[[#This Row],[tamanho]]=$I$6,$L$6,0))))*IF(C1431="8_1",9,25))</f>
        <v>4.1937081111046454E-7</v>
      </c>
    </row>
    <row r="1432" spans="1:6" ht="12.75" x14ac:dyDescent="0.2">
      <c r="A1432" s="1">
        <v>59</v>
      </c>
      <c r="B1432" s="1">
        <v>3</v>
      </c>
      <c r="C1432" s="1" t="s">
        <v>8</v>
      </c>
      <c r="D1432" s="1" t="s">
        <v>6</v>
      </c>
      <c r="E1432" s="1">
        <v>4.3617403507232604</v>
      </c>
      <c r="F1432" s="1">
        <f>Tabla1[[#This Row],[tiempo]]/(IF(Tabla1[[#This Row],[tamanho]]=$I$3,$L$3,IF(Tabla1[[#This Row],[tamanho]]=$I$4,$L$4,IF(Tabla1[[#This Row],[tamanho]]=$I$5,$L$5,IF(Tabla1[[#This Row],[tamanho]]=$I$6,$L$6,0))))*IF(C1432="8_1",9,25))</f>
        <v>4.2218595879262924E-7</v>
      </c>
    </row>
    <row r="1433" spans="1:6" ht="12.75" x14ac:dyDescent="0.2">
      <c r="A1433" s="1">
        <v>59</v>
      </c>
      <c r="B1433" s="1">
        <v>3</v>
      </c>
      <c r="C1433" s="1" t="s">
        <v>5</v>
      </c>
      <c r="D1433" s="1" t="s">
        <v>9</v>
      </c>
      <c r="E1433" s="1">
        <v>3.84381008148193</v>
      </c>
      <c r="F1433" s="1">
        <f>Tabla1[[#This Row],[tiempo]]/(IF(Tabla1[[#This Row],[tamanho]]=$I$3,$L$3,IF(Tabla1[[#This Row],[tamanho]]=$I$4,$L$4,IF(Tabla1[[#This Row],[tamanho]]=$I$5,$L$5,IF(Tabla1[[#This Row],[tamanho]]=$I$6,$L$6,0))))*IF(C1433="8_1",9,25))</f>
        <v>1.0334831424177145E-6</v>
      </c>
    </row>
    <row r="1434" spans="1:6" ht="12.75" x14ac:dyDescent="0.2">
      <c r="A1434" s="1">
        <v>59</v>
      </c>
      <c r="B1434" s="1">
        <v>3</v>
      </c>
      <c r="C1434" s="1" t="s">
        <v>7</v>
      </c>
      <c r="D1434" s="1" t="s">
        <v>9</v>
      </c>
      <c r="E1434" s="1">
        <v>4.3289885520934996</v>
      </c>
      <c r="F1434" s="1">
        <f>Tabla1[[#This Row],[tiempo]]/(IF(Tabla1[[#This Row],[tamanho]]=$I$3,$L$3,IF(Tabla1[[#This Row],[tamanho]]=$I$4,$L$4,IF(Tabla1[[#This Row],[tamanho]]=$I$5,$L$5,IF(Tabla1[[#This Row],[tamanho]]=$I$6,$L$6,0))))*IF(C1434="8_1",9,25))</f>
        <v>4.1901581375994849E-7</v>
      </c>
    </row>
    <row r="1435" spans="1:6" ht="12.75" x14ac:dyDescent="0.2">
      <c r="A1435" s="1">
        <v>59</v>
      </c>
      <c r="B1435" s="1">
        <v>3</v>
      </c>
      <c r="C1435" s="1" t="s">
        <v>8</v>
      </c>
      <c r="D1435" s="1" t="s">
        <v>9</v>
      </c>
      <c r="E1435" s="1">
        <v>4.3393218517303396</v>
      </c>
      <c r="F1435" s="1">
        <f>Tabla1[[#This Row],[tiempo]]/(IF(Tabla1[[#This Row],[tamanho]]=$I$3,$L$3,IF(Tabla1[[#This Row],[tamanho]]=$I$4,$L$4,IF(Tabla1[[#This Row],[tamanho]]=$I$5,$L$5,IF(Tabla1[[#This Row],[tamanho]]=$I$6,$L$6,0))))*IF(C1435="8_1",9,25))</f>
        <v>4.2001600489098346E-7</v>
      </c>
    </row>
    <row r="1436" spans="1:6" ht="12.75" x14ac:dyDescent="0.2">
      <c r="A1436" s="1">
        <v>59</v>
      </c>
      <c r="B1436" s="1">
        <v>4</v>
      </c>
      <c r="C1436" s="1" t="s">
        <v>5</v>
      </c>
      <c r="D1436" s="1" t="s">
        <v>6</v>
      </c>
      <c r="E1436" s="1">
        <v>6.87349152565002</v>
      </c>
      <c r="F1436" s="1">
        <f>Tabla1[[#This Row],[tiempo]]/(IF(Tabla1[[#This Row],[tamanho]]=$I$3,$L$3,IF(Tabla1[[#This Row],[tamanho]]=$I$4,$L$4,IF(Tabla1[[#This Row],[tamanho]]=$I$5,$L$5,IF(Tabla1[[#This Row],[tamanho]]=$I$6,$L$6,0))))*IF(C1436="8_1",9,25))</f>
        <v>1.0379426023375549E-6</v>
      </c>
    </row>
    <row r="1437" spans="1:6" ht="12.75" x14ac:dyDescent="0.2">
      <c r="A1437" s="1">
        <v>59</v>
      </c>
      <c r="B1437" s="1">
        <v>4</v>
      </c>
      <c r="C1437" s="1" t="s">
        <v>7</v>
      </c>
      <c r="D1437" s="1" t="s">
        <v>6</v>
      </c>
      <c r="E1437" s="1">
        <v>7.7582082748412997</v>
      </c>
      <c r="F1437" s="1">
        <f>Tabla1[[#This Row],[tiempo]]/(IF(Tabla1[[#This Row],[tamanho]]=$I$3,$L$3,IF(Tabla1[[#This Row],[tamanho]]=$I$4,$L$4,IF(Tabla1[[#This Row],[tamanho]]=$I$5,$L$5,IF(Tabla1[[#This Row],[tamanho]]=$I$6,$L$6,0))))*IF(C1437="8_1",9,25))</f>
        <v>4.2175464219859389E-7</v>
      </c>
    </row>
    <row r="1438" spans="1:6" ht="12.75" x14ac:dyDescent="0.2">
      <c r="A1438" s="1">
        <v>59</v>
      </c>
      <c r="B1438" s="1">
        <v>4</v>
      </c>
      <c r="C1438" s="1" t="s">
        <v>8</v>
      </c>
      <c r="D1438" s="1" t="s">
        <v>6</v>
      </c>
      <c r="E1438" s="1">
        <v>7.7702569961547798</v>
      </c>
      <c r="F1438" s="1">
        <f>Tabla1[[#This Row],[tiempo]]/(IF(Tabla1[[#This Row],[tamanho]]=$I$3,$L$3,IF(Tabla1[[#This Row],[tamanho]]=$I$4,$L$4,IF(Tabla1[[#This Row],[tamanho]]=$I$5,$L$5,IF(Tabla1[[#This Row],[tamanho]]=$I$6,$L$6,0))))*IF(C1438="8_1",9,25))</f>
        <v>4.2240963932763414E-7</v>
      </c>
    </row>
    <row r="1439" spans="1:6" ht="12.75" x14ac:dyDescent="0.2">
      <c r="A1439" s="1">
        <v>59</v>
      </c>
      <c r="B1439" s="1">
        <v>4</v>
      </c>
      <c r="C1439" s="1" t="s">
        <v>5</v>
      </c>
      <c r="D1439" s="1" t="s">
        <v>9</v>
      </c>
      <c r="E1439" s="1">
        <v>6.9265429973602197</v>
      </c>
      <c r="F1439" s="1">
        <f>Tabla1[[#This Row],[tiempo]]/(IF(Tabla1[[#This Row],[tamanho]]=$I$3,$L$3,IF(Tabla1[[#This Row],[tamanho]]=$I$4,$L$4,IF(Tabla1[[#This Row],[tamanho]]=$I$5,$L$5,IF(Tabla1[[#This Row],[tamanho]]=$I$6,$L$6,0))))*IF(C1439="8_1",9,25))</f>
        <v>1.0459537248361042E-6</v>
      </c>
    </row>
    <row r="1440" spans="1:6" ht="12.75" x14ac:dyDescent="0.2">
      <c r="A1440" s="1">
        <v>59</v>
      </c>
      <c r="B1440" s="1">
        <v>4</v>
      </c>
      <c r="C1440" s="1" t="s">
        <v>7</v>
      </c>
      <c r="D1440" s="1" t="s">
        <v>9</v>
      </c>
      <c r="E1440" s="1">
        <v>7.7360820770263601</v>
      </c>
      <c r="F1440" s="1">
        <f>Tabla1[[#This Row],[tiempo]]/(IF(Tabla1[[#This Row],[tamanho]]=$I$3,$L$3,IF(Tabla1[[#This Row],[tamanho]]=$I$4,$L$4,IF(Tabla1[[#This Row],[tamanho]]=$I$5,$L$5,IF(Tabla1[[#This Row],[tamanho]]=$I$6,$L$6,0))))*IF(C1440="8_1",9,25))</f>
        <v>4.2055180949391946E-7</v>
      </c>
    </row>
    <row r="1441" spans="1:6" ht="12.75" x14ac:dyDescent="0.2">
      <c r="A1441" s="1">
        <v>59</v>
      </c>
      <c r="B1441" s="1">
        <v>4</v>
      </c>
      <c r="C1441" s="1" t="s">
        <v>8</v>
      </c>
      <c r="D1441" s="1" t="s">
        <v>9</v>
      </c>
      <c r="E1441" s="1">
        <v>7.8267252445220903</v>
      </c>
      <c r="F1441" s="1">
        <f>Tabla1[[#This Row],[tiempo]]/(IF(Tabla1[[#This Row],[tamanho]]=$I$3,$L$3,IF(Tabla1[[#This Row],[tamanho]]=$I$4,$L$4,IF(Tabla1[[#This Row],[tamanho]]=$I$5,$L$5,IF(Tabla1[[#This Row],[tamanho]]=$I$6,$L$6,0))))*IF(C1441="8_1",9,25))</f>
        <v>4.2547938752748169E-7</v>
      </c>
    </row>
    <row r="1442" spans="1:6" ht="12.75" x14ac:dyDescent="0.2">
      <c r="A1442" s="1">
        <v>60</v>
      </c>
      <c r="B1442" s="1">
        <v>1</v>
      </c>
      <c r="C1442" s="1" t="s">
        <v>5</v>
      </c>
      <c r="D1442" s="1" t="s">
        <v>6</v>
      </c>
      <c r="E1442" s="1">
        <v>0.41357898712158198</v>
      </c>
      <c r="F1442" s="1">
        <f>Tabla1[[#This Row],[tiempo]]/(IF(Tabla1[[#This Row],[tamanho]]=$I$3,$L$3,IF(Tabla1[[#This Row],[tamanho]]=$I$4,$L$4,IF(Tabla1[[#This Row],[tamanho]]=$I$5,$L$5,IF(Tabla1[[#This Row],[tamanho]]=$I$6,$L$6,0))))*IF(C1442="8_1",9,25))</f>
        <v>1.7044330993393007E-6</v>
      </c>
    </row>
    <row r="1443" spans="1:6" ht="12.75" x14ac:dyDescent="0.2">
      <c r="A1443" s="1">
        <v>60</v>
      </c>
      <c r="B1443" s="1">
        <v>1</v>
      </c>
      <c r="C1443" s="1" t="s">
        <v>7</v>
      </c>
      <c r="D1443" s="1" t="s">
        <v>6</v>
      </c>
      <c r="E1443" s="1">
        <v>0.46520876884460399</v>
      </c>
      <c r="F1443" s="1">
        <f>Tabla1[[#This Row],[tiempo]]/(IF(Tabla1[[#This Row],[tamanho]]=$I$3,$L$3,IF(Tabla1[[#This Row],[tamanho]]=$I$4,$L$4,IF(Tabla1[[#This Row],[tamanho]]=$I$5,$L$5,IF(Tabla1[[#This Row],[tamanho]]=$I$6,$L$6,0))))*IF(C1443="8_1",9,25))</f>
        <v>6.9019512457936129E-7</v>
      </c>
    </row>
    <row r="1444" spans="1:6" ht="12.75" x14ac:dyDescent="0.2">
      <c r="A1444" s="1">
        <v>60</v>
      </c>
      <c r="B1444" s="1">
        <v>1</v>
      </c>
      <c r="C1444" s="1" t="s">
        <v>8</v>
      </c>
      <c r="D1444" s="1" t="s">
        <v>6</v>
      </c>
      <c r="E1444" s="1">
        <v>0.46655774116516102</v>
      </c>
      <c r="F1444" s="1">
        <f>Tabla1[[#This Row],[tiempo]]/(IF(Tabla1[[#This Row],[tamanho]]=$I$3,$L$3,IF(Tabla1[[#This Row],[tamanho]]=$I$4,$L$4,IF(Tabla1[[#This Row],[tamanho]]=$I$5,$L$5,IF(Tabla1[[#This Row],[tamanho]]=$I$6,$L$6,0))))*IF(C1444="8_1",9,25))</f>
        <v>6.9219649295673165E-7</v>
      </c>
    </row>
    <row r="1445" spans="1:6" ht="12.75" x14ac:dyDescent="0.2">
      <c r="A1445" s="1">
        <v>60</v>
      </c>
      <c r="B1445" s="1">
        <v>1</v>
      </c>
      <c r="C1445" s="1" t="s">
        <v>5</v>
      </c>
      <c r="D1445" s="1" t="s">
        <v>9</v>
      </c>
      <c r="E1445" s="1">
        <v>0.41593670845031699</v>
      </c>
      <c r="F1445" s="1">
        <f>Tabla1[[#This Row],[tiempo]]/(IF(Tabla1[[#This Row],[tamanho]]=$I$3,$L$3,IF(Tabla1[[#This Row],[tamanho]]=$I$4,$L$4,IF(Tabla1[[#This Row],[tamanho]]=$I$5,$L$5,IF(Tabla1[[#This Row],[tamanho]]=$I$6,$L$6,0))))*IF(C1445="8_1",9,25))</f>
        <v>1.7141496913249879E-6</v>
      </c>
    </row>
    <row r="1446" spans="1:6" ht="12.75" x14ac:dyDescent="0.2">
      <c r="A1446" s="1">
        <v>60</v>
      </c>
      <c r="B1446" s="1">
        <v>1</v>
      </c>
      <c r="C1446" s="1" t="s">
        <v>7</v>
      </c>
      <c r="D1446" s="1" t="s">
        <v>9</v>
      </c>
      <c r="E1446" s="1">
        <v>0.46364140510558999</v>
      </c>
      <c r="F1446" s="1">
        <f>Tabla1[[#This Row],[tiempo]]/(IF(Tabla1[[#This Row],[tamanho]]=$I$3,$L$3,IF(Tabla1[[#This Row],[tamanho]]=$I$4,$L$4,IF(Tabla1[[#This Row],[tamanho]]=$I$5,$L$5,IF(Tabla1[[#This Row],[tamanho]]=$I$6,$L$6,0))))*IF(C1446="8_1",9,25))</f>
        <v>6.8786974534414891E-7</v>
      </c>
    </row>
    <row r="1447" spans="1:6" ht="12.75" x14ac:dyDescent="0.2">
      <c r="A1447" s="1">
        <v>60</v>
      </c>
      <c r="B1447" s="1">
        <v>1</v>
      </c>
      <c r="C1447" s="1" t="s">
        <v>8</v>
      </c>
      <c r="D1447" s="1" t="s">
        <v>9</v>
      </c>
      <c r="E1447" s="1">
        <v>0.47690582275390597</v>
      </c>
      <c r="F1447" s="1">
        <f>Tabla1[[#This Row],[tiempo]]/(IF(Tabla1[[#This Row],[tamanho]]=$I$3,$L$3,IF(Tabla1[[#This Row],[tamanho]]=$I$4,$L$4,IF(Tabla1[[#This Row],[tamanho]]=$I$5,$L$5,IF(Tabla1[[#This Row],[tamanho]]=$I$6,$L$6,0))))*IF(C1447="8_1",9,25))</f>
        <v>7.0754916027433103E-7</v>
      </c>
    </row>
    <row r="1448" spans="1:6" ht="12.75" x14ac:dyDescent="0.2">
      <c r="A1448" s="1">
        <v>60</v>
      </c>
      <c r="B1448" s="1">
        <v>2</v>
      </c>
      <c r="C1448" s="1" t="s">
        <v>5</v>
      </c>
      <c r="D1448" s="1" t="s">
        <v>6</v>
      </c>
      <c r="E1448" s="1">
        <v>1.7008032798767001</v>
      </c>
      <c r="F1448" s="1">
        <f>Tabla1[[#This Row],[tiempo]]/(IF(Tabla1[[#This Row],[tamanho]]=$I$3,$L$3,IF(Tabla1[[#This Row],[tamanho]]=$I$4,$L$4,IF(Tabla1[[#This Row],[tamanho]]=$I$5,$L$5,IF(Tabla1[[#This Row],[tamanho]]=$I$6,$L$6,0))))*IF(C1448="8_1",9,25))</f>
        <v>1.0297301806242426E-6</v>
      </c>
    </row>
    <row r="1449" spans="1:6" ht="12.75" x14ac:dyDescent="0.2">
      <c r="A1449" s="1">
        <v>60</v>
      </c>
      <c r="B1449" s="1">
        <v>2</v>
      </c>
      <c r="C1449" s="1" t="s">
        <v>7</v>
      </c>
      <c r="D1449" s="1" t="s">
        <v>6</v>
      </c>
      <c r="E1449" s="1">
        <v>1.8772060871124201</v>
      </c>
      <c r="F1449" s="1">
        <f>Tabla1[[#This Row],[tiempo]]/(IF(Tabla1[[#This Row],[tamanho]]=$I$3,$L$3,IF(Tabla1[[#This Row],[tamanho]]=$I$4,$L$4,IF(Tabla1[[#This Row],[tamanho]]=$I$5,$L$5,IF(Tabla1[[#This Row],[tamanho]]=$I$6,$L$6,0))))*IF(C1449="8_1",9,25))</f>
        <v>4.0915118342485805E-7</v>
      </c>
    </row>
    <row r="1450" spans="1:6" ht="12.75" x14ac:dyDescent="0.2">
      <c r="A1450" s="1">
        <v>60</v>
      </c>
      <c r="B1450" s="1">
        <v>2</v>
      </c>
      <c r="C1450" s="1" t="s">
        <v>8</v>
      </c>
      <c r="D1450" s="1" t="s">
        <v>6</v>
      </c>
      <c r="E1450" s="1">
        <v>1.89569759368896</v>
      </c>
      <c r="F1450" s="1">
        <f>Tabla1[[#This Row],[tiempo]]/(IF(Tabla1[[#This Row],[tamanho]]=$I$3,$L$3,IF(Tabla1[[#This Row],[tamanho]]=$I$4,$L$4,IF(Tabla1[[#This Row],[tamanho]]=$I$5,$L$5,IF(Tabla1[[#This Row],[tamanho]]=$I$6,$L$6,0))))*IF(C1450="8_1",9,25))</f>
        <v>4.1318154634081143E-7</v>
      </c>
    </row>
    <row r="1451" spans="1:6" ht="12.75" x14ac:dyDescent="0.2">
      <c r="A1451" s="1">
        <v>60</v>
      </c>
      <c r="B1451" s="1">
        <v>2</v>
      </c>
      <c r="C1451" s="1" t="s">
        <v>5</v>
      </c>
      <c r="D1451" s="1" t="s">
        <v>9</v>
      </c>
      <c r="E1451" s="1">
        <v>1.69476819038391</v>
      </c>
      <c r="F1451" s="1">
        <f>Tabla1[[#This Row],[tiempo]]/(IF(Tabla1[[#This Row],[tamanho]]=$I$3,$L$3,IF(Tabla1[[#This Row],[tamanho]]=$I$4,$L$4,IF(Tabla1[[#This Row],[tamanho]]=$I$5,$L$5,IF(Tabla1[[#This Row],[tamanho]]=$I$6,$L$6,0))))*IF(C1451="8_1",9,25))</f>
        <v>1.0260763107928386E-6</v>
      </c>
    </row>
    <row r="1452" spans="1:6" ht="12.75" x14ac:dyDescent="0.2">
      <c r="A1452" s="1">
        <v>60</v>
      </c>
      <c r="B1452" s="1">
        <v>2</v>
      </c>
      <c r="C1452" s="1" t="s">
        <v>7</v>
      </c>
      <c r="D1452" s="1" t="s">
        <v>9</v>
      </c>
      <c r="E1452" s="1">
        <v>1.8920350074768</v>
      </c>
      <c r="F1452" s="1">
        <f>Tabla1[[#This Row],[tiempo]]/(IF(Tabla1[[#This Row],[tamanho]]=$I$3,$L$3,IF(Tabla1[[#This Row],[tamanho]]=$I$4,$L$4,IF(Tabla1[[#This Row],[tamanho]]=$I$5,$L$5,IF(Tabla1[[#This Row],[tamanho]]=$I$6,$L$6,0))))*IF(C1452="8_1",9,25))</f>
        <v>4.123832581329323E-7</v>
      </c>
    </row>
    <row r="1453" spans="1:6" ht="12.75" x14ac:dyDescent="0.2">
      <c r="A1453" s="1">
        <v>60</v>
      </c>
      <c r="B1453" s="1">
        <v>2</v>
      </c>
      <c r="C1453" s="1" t="s">
        <v>8</v>
      </c>
      <c r="D1453" s="1" t="s">
        <v>9</v>
      </c>
      <c r="E1453" s="1">
        <v>1.9023516178131099</v>
      </c>
      <c r="F1453" s="1">
        <f>Tabla1[[#This Row],[tiempo]]/(IF(Tabla1[[#This Row],[tamanho]]=$I$3,$L$3,IF(Tabla1[[#This Row],[tamanho]]=$I$4,$L$4,IF(Tabla1[[#This Row],[tamanho]]=$I$5,$L$5,IF(Tabla1[[#This Row],[tamanho]]=$I$6,$L$6,0))))*IF(C1453="8_1",9,25))</f>
        <v>4.1463184093745923E-7</v>
      </c>
    </row>
    <row r="1454" spans="1:6" ht="12.75" x14ac:dyDescent="0.2">
      <c r="A1454" s="1">
        <v>60</v>
      </c>
      <c r="B1454" s="1">
        <v>3</v>
      </c>
      <c r="C1454" s="1" t="s">
        <v>5</v>
      </c>
      <c r="D1454" s="1" t="s">
        <v>6</v>
      </c>
      <c r="E1454" s="1">
        <v>3.8276240825653001</v>
      </c>
      <c r="F1454" s="1">
        <f>Tabla1[[#This Row],[tiempo]]/(IF(Tabla1[[#This Row],[tamanho]]=$I$3,$L$3,IF(Tabla1[[#This Row],[tamanho]]=$I$4,$L$4,IF(Tabla1[[#This Row],[tamanho]]=$I$5,$L$5,IF(Tabla1[[#This Row],[tamanho]]=$I$6,$L$6,0))))*IF(C1454="8_1",9,25))</f>
        <v>1.0291312216232618E-6</v>
      </c>
    </row>
    <row r="1455" spans="1:6" ht="12.75" x14ac:dyDescent="0.2">
      <c r="A1455" s="1">
        <v>60</v>
      </c>
      <c r="B1455" s="1">
        <v>3</v>
      </c>
      <c r="C1455" s="1" t="s">
        <v>7</v>
      </c>
      <c r="D1455" s="1" t="s">
        <v>6</v>
      </c>
      <c r="E1455" s="1">
        <v>4.3308684825897199</v>
      </c>
      <c r="F1455" s="1">
        <f>Tabla1[[#This Row],[tiempo]]/(IF(Tabla1[[#This Row],[tamanho]]=$I$3,$L$3,IF(Tabla1[[#This Row],[tamanho]]=$I$4,$L$4,IF(Tabla1[[#This Row],[tamanho]]=$I$5,$L$5,IF(Tabla1[[#This Row],[tamanho]]=$I$6,$L$6,0))))*IF(C1455="8_1",9,25))</f>
        <v>4.1919777788325502E-7</v>
      </c>
    </row>
    <row r="1456" spans="1:6" ht="12.75" x14ac:dyDescent="0.2">
      <c r="A1456" s="1">
        <v>60</v>
      </c>
      <c r="B1456" s="1">
        <v>3</v>
      </c>
      <c r="C1456" s="1" t="s">
        <v>8</v>
      </c>
      <c r="D1456" s="1" t="s">
        <v>6</v>
      </c>
      <c r="E1456" s="1">
        <v>4.3638904094696001</v>
      </c>
      <c r="F1456" s="1">
        <f>Tabla1[[#This Row],[tiempo]]/(IF(Tabla1[[#This Row],[tamanho]]=$I$3,$L$3,IF(Tabla1[[#This Row],[tamanho]]=$I$4,$L$4,IF(Tabla1[[#This Row],[tamanho]]=$I$5,$L$5,IF(Tabla1[[#This Row],[tamanho]]=$I$6,$L$6,0))))*IF(C1456="8_1",9,25))</f>
        <v>4.2239406944119945E-7</v>
      </c>
    </row>
    <row r="1457" spans="1:6" ht="12.75" x14ac:dyDescent="0.2">
      <c r="A1457" s="1">
        <v>60</v>
      </c>
      <c r="B1457" s="1">
        <v>3</v>
      </c>
      <c r="C1457" s="1" t="s">
        <v>5</v>
      </c>
      <c r="D1457" s="1" t="s">
        <v>9</v>
      </c>
      <c r="E1457" s="1">
        <v>3.8626422882079998</v>
      </c>
      <c r="F1457" s="1">
        <f>Tabla1[[#This Row],[tiempo]]/(IF(Tabla1[[#This Row],[tamanho]]=$I$3,$L$3,IF(Tabla1[[#This Row],[tamanho]]=$I$4,$L$4,IF(Tabla1[[#This Row],[tamanho]]=$I$5,$L$5,IF(Tabla1[[#This Row],[tamanho]]=$I$6,$L$6,0))))*IF(C1457="8_1",9,25))</f>
        <v>1.0385465476779491E-6</v>
      </c>
    </row>
    <row r="1458" spans="1:6" ht="12.75" x14ac:dyDescent="0.2">
      <c r="A1458" s="1">
        <v>60</v>
      </c>
      <c r="B1458" s="1">
        <v>3</v>
      </c>
      <c r="C1458" s="1" t="s">
        <v>7</v>
      </c>
      <c r="D1458" s="1" t="s">
        <v>9</v>
      </c>
      <c r="E1458" s="1">
        <v>4.3246128559112504</v>
      </c>
      <c r="F1458" s="1">
        <f>Tabla1[[#This Row],[tiempo]]/(IF(Tabla1[[#This Row],[tamanho]]=$I$3,$L$3,IF(Tabla1[[#This Row],[tamanho]]=$I$4,$L$4,IF(Tabla1[[#This Row],[tamanho]]=$I$5,$L$5,IF(Tabla1[[#This Row],[tamanho]]=$I$6,$L$6,0))))*IF(C1458="8_1",9,25))</f>
        <v>4.1859227697427486E-7</v>
      </c>
    </row>
    <row r="1459" spans="1:6" ht="12.75" x14ac:dyDescent="0.2">
      <c r="A1459" s="1">
        <v>60</v>
      </c>
      <c r="B1459" s="1">
        <v>3</v>
      </c>
      <c r="C1459" s="1" t="s">
        <v>8</v>
      </c>
      <c r="D1459" s="1" t="s">
        <v>9</v>
      </c>
      <c r="E1459" s="1">
        <v>4.4810488224029497</v>
      </c>
      <c r="F1459" s="1">
        <f>Tabla1[[#This Row],[tiempo]]/(IF(Tabla1[[#This Row],[tamanho]]=$I$3,$L$3,IF(Tabla1[[#This Row],[tamanho]]=$I$4,$L$4,IF(Tabla1[[#This Row],[tamanho]]=$I$5,$L$5,IF(Tabla1[[#This Row],[tamanho]]=$I$6,$L$6,0))))*IF(C1459="8_1",9,25))</f>
        <v>4.337341843764425E-7</v>
      </c>
    </row>
    <row r="1460" spans="1:6" ht="12.75" x14ac:dyDescent="0.2">
      <c r="A1460" s="1">
        <v>60</v>
      </c>
      <c r="B1460" s="1">
        <v>4</v>
      </c>
      <c r="C1460" s="1" t="s">
        <v>5</v>
      </c>
      <c r="D1460" s="1" t="s">
        <v>6</v>
      </c>
      <c r="E1460" s="1">
        <v>6.9631156921386701</v>
      </c>
      <c r="F1460" s="1">
        <f>Tabla1[[#This Row],[tiempo]]/(IF(Tabla1[[#This Row],[tamanho]]=$I$3,$L$3,IF(Tabla1[[#This Row],[tamanho]]=$I$4,$L$4,IF(Tabla1[[#This Row],[tamanho]]=$I$5,$L$5,IF(Tabla1[[#This Row],[tamanho]]=$I$6,$L$6,0))))*IF(C1460="8_1",9,25))</f>
        <v>1.051476443217466E-6</v>
      </c>
    </row>
    <row r="1461" spans="1:6" ht="12.75" x14ac:dyDescent="0.2">
      <c r="A1461" s="1">
        <v>60</v>
      </c>
      <c r="B1461" s="1">
        <v>4</v>
      </c>
      <c r="C1461" s="1" t="s">
        <v>7</v>
      </c>
      <c r="D1461" s="1" t="s">
        <v>6</v>
      </c>
      <c r="E1461" s="1">
        <v>7.7309999465942303</v>
      </c>
      <c r="F1461" s="1">
        <f>Tabla1[[#This Row],[tiempo]]/(IF(Tabla1[[#This Row],[tamanho]]=$I$3,$L$3,IF(Tabla1[[#This Row],[tamanho]]=$I$4,$L$4,IF(Tabla1[[#This Row],[tamanho]]=$I$5,$L$5,IF(Tabla1[[#This Row],[tamanho]]=$I$6,$L$6,0))))*IF(C1461="8_1",9,25))</f>
        <v>4.2027553280398313E-7</v>
      </c>
    </row>
    <row r="1462" spans="1:6" ht="12.75" x14ac:dyDescent="0.2">
      <c r="A1462" s="1">
        <v>60</v>
      </c>
      <c r="B1462" s="1">
        <v>4</v>
      </c>
      <c r="C1462" s="1" t="s">
        <v>8</v>
      </c>
      <c r="D1462" s="1" t="s">
        <v>6</v>
      </c>
      <c r="E1462" s="1">
        <v>7.8081960678100497</v>
      </c>
      <c r="F1462" s="1">
        <f>Tabla1[[#This Row],[tiempo]]/(IF(Tabla1[[#This Row],[tamanho]]=$I$3,$L$3,IF(Tabla1[[#This Row],[tamanho]]=$I$4,$L$4,IF(Tabla1[[#This Row],[tamanho]]=$I$5,$L$5,IF(Tabla1[[#This Row],[tamanho]]=$I$6,$L$6,0))))*IF(C1462="8_1",9,25))</f>
        <v>4.2447209743967063E-7</v>
      </c>
    </row>
    <row r="1463" spans="1:6" ht="12.75" x14ac:dyDescent="0.2">
      <c r="A1463" s="1">
        <v>60</v>
      </c>
      <c r="B1463" s="1">
        <v>4</v>
      </c>
      <c r="C1463" s="1" t="s">
        <v>5</v>
      </c>
      <c r="D1463" s="1" t="s">
        <v>9</v>
      </c>
      <c r="E1463" s="1">
        <v>7.0301375389099103</v>
      </c>
      <c r="F1463" s="1">
        <f>Tabla1[[#This Row],[tiempo]]/(IF(Tabla1[[#This Row],[tamanho]]=$I$3,$L$3,IF(Tabla1[[#This Row],[tamanho]]=$I$4,$L$4,IF(Tabla1[[#This Row],[tamanho]]=$I$5,$L$5,IF(Tabla1[[#This Row],[tamanho]]=$I$6,$L$6,0))))*IF(C1463="8_1",9,25))</f>
        <v>1.0615971845890982E-6</v>
      </c>
    </row>
    <row r="1464" spans="1:6" ht="12.75" x14ac:dyDescent="0.2">
      <c r="A1464" s="1">
        <v>60</v>
      </c>
      <c r="B1464" s="1">
        <v>4</v>
      </c>
      <c r="C1464" s="1" t="s">
        <v>7</v>
      </c>
      <c r="D1464" s="1" t="s">
        <v>9</v>
      </c>
      <c r="E1464" s="1">
        <v>7.8459942340850803</v>
      </c>
      <c r="F1464" s="1">
        <f>Tabla1[[#This Row],[tiempo]]/(IF(Tabla1[[#This Row],[tamanho]]=$I$3,$L$3,IF(Tabla1[[#This Row],[tamanho]]=$I$4,$L$4,IF(Tabla1[[#This Row],[tamanho]]=$I$5,$L$5,IF(Tabla1[[#This Row],[tamanho]]=$I$6,$L$6,0))))*IF(C1464="8_1",9,25))</f>
        <v>4.2652689560032132E-7</v>
      </c>
    </row>
    <row r="1465" spans="1:6" ht="12.75" x14ac:dyDescent="0.2">
      <c r="A1465" s="1">
        <v>60</v>
      </c>
      <c r="B1465" s="1">
        <v>4</v>
      </c>
      <c r="C1465" s="1" t="s">
        <v>8</v>
      </c>
      <c r="D1465" s="1" t="s">
        <v>9</v>
      </c>
      <c r="E1465" s="1">
        <v>7.8274574279785103</v>
      </c>
      <c r="F1465" s="1">
        <f>Tabla1[[#This Row],[tiempo]]/(IF(Tabla1[[#This Row],[tamanho]]=$I$3,$L$3,IF(Tabla1[[#This Row],[tamanho]]=$I$4,$L$4,IF(Tabla1[[#This Row],[tamanho]]=$I$5,$L$5,IF(Tabla1[[#This Row],[tamanho]]=$I$6,$L$6,0))))*IF(C1465="8_1",9,25))</f>
        <v>4.2551919076048946E-7</v>
      </c>
    </row>
    <row r="1466" spans="1:6" ht="12.75" x14ac:dyDescent="0.2">
      <c r="A1466" s="1">
        <v>61</v>
      </c>
      <c r="B1466" s="1">
        <v>1</v>
      </c>
      <c r="C1466" s="1" t="s">
        <v>5</v>
      </c>
      <c r="D1466" s="1" t="s">
        <v>6</v>
      </c>
      <c r="E1466" s="1">
        <v>0.41915798187255798</v>
      </c>
      <c r="F1466" s="1">
        <f>Tabla1[[#This Row],[tiempo]]/(IF(Tabla1[[#This Row],[tamanho]]=$I$3,$L$3,IF(Tabla1[[#This Row],[tamanho]]=$I$4,$L$4,IF(Tabla1[[#This Row],[tamanho]]=$I$5,$L$5,IF(Tabla1[[#This Row],[tamanho]]=$I$6,$L$6,0))))*IF(C1466="8_1",9,25))</f>
        <v>1.727425136194907E-6</v>
      </c>
    </row>
    <row r="1467" spans="1:6" ht="12.75" x14ac:dyDescent="0.2">
      <c r="A1467" s="1">
        <v>61</v>
      </c>
      <c r="B1467" s="1">
        <v>1</v>
      </c>
      <c r="C1467" s="1" t="s">
        <v>7</v>
      </c>
      <c r="D1467" s="1" t="s">
        <v>6</v>
      </c>
      <c r="E1467" s="1">
        <v>0.47218108177184998</v>
      </c>
      <c r="F1467" s="1">
        <f>Tabla1[[#This Row],[tiempo]]/(IF(Tabla1[[#This Row],[tamanho]]=$I$3,$L$3,IF(Tabla1[[#This Row],[tamanho]]=$I$4,$L$4,IF(Tabla1[[#This Row],[tamanho]]=$I$5,$L$5,IF(Tabla1[[#This Row],[tamanho]]=$I$6,$L$6,0))))*IF(C1467="8_1",9,25))</f>
        <v>7.0053941882252135E-7</v>
      </c>
    </row>
    <row r="1468" spans="1:6" ht="12.75" x14ac:dyDescent="0.2">
      <c r="A1468" s="1">
        <v>61</v>
      </c>
      <c r="B1468" s="1">
        <v>1</v>
      </c>
      <c r="C1468" s="1" t="s">
        <v>8</v>
      </c>
      <c r="D1468" s="1" t="s">
        <v>6</v>
      </c>
      <c r="E1468" s="1">
        <v>0.46337127685546797</v>
      </c>
      <c r="F1468" s="1">
        <f>Tabla1[[#This Row],[tiempo]]/(IF(Tabla1[[#This Row],[tamanho]]=$I$3,$L$3,IF(Tabla1[[#This Row],[tamanho]]=$I$4,$L$4,IF(Tabla1[[#This Row],[tamanho]]=$I$5,$L$5,IF(Tabla1[[#This Row],[tamanho]]=$I$6,$L$6,0))))*IF(C1468="8_1",9,25))</f>
        <v>6.8746897645557359E-7</v>
      </c>
    </row>
    <row r="1469" spans="1:6" ht="12.75" x14ac:dyDescent="0.2">
      <c r="A1469" s="1">
        <v>61</v>
      </c>
      <c r="B1469" s="1">
        <v>1</v>
      </c>
      <c r="C1469" s="1" t="s">
        <v>5</v>
      </c>
      <c r="D1469" s="1" t="s">
        <v>9</v>
      </c>
      <c r="E1469" s="1">
        <v>0.41231155395507801</v>
      </c>
      <c r="F1469" s="1">
        <f>Tabla1[[#This Row],[tiempo]]/(IF(Tabla1[[#This Row],[tamanho]]=$I$3,$L$3,IF(Tabla1[[#This Row],[tamanho]]=$I$4,$L$4,IF(Tabla1[[#This Row],[tamanho]]=$I$5,$L$5,IF(Tabla1[[#This Row],[tamanho]]=$I$6,$L$6,0))))*IF(C1469="8_1",9,25))</f>
        <v>1.6992097801972315E-6</v>
      </c>
    </row>
    <row r="1470" spans="1:6" ht="12.75" x14ac:dyDescent="0.2">
      <c r="A1470" s="1">
        <v>61</v>
      </c>
      <c r="B1470" s="1">
        <v>1</v>
      </c>
      <c r="C1470" s="1" t="s">
        <v>7</v>
      </c>
      <c r="D1470" s="1" t="s">
        <v>9</v>
      </c>
      <c r="E1470" s="1">
        <v>0.46248340606689398</v>
      </c>
      <c r="F1470" s="1">
        <f>Tabla1[[#This Row],[tiempo]]/(IF(Tabla1[[#This Row],[tamanho]]=$I$3,$L$3,IF(Tabla1[[#This Row],[tamanho]]=$I$4,$L$4,IF(Tabla1[[#This Row],[tamanho]]=$I$5,$L$5,IF(Tabla1[[#This Row],[tamanho]]=$I$6,$L$6,0))))*IF(C1470="8_1",9,25))</f>
        <v>6.8615170960556952E-7</v>
      </c>
    </row>
    <row r="1471" spans="1:6" ht="12.75" x14ac:dyDescent="0.2">
      <c r="A1471" s="1">
        <v>61</v>
      </c>
      <c r="B1471" s="1">
        <v>1</v>
      </c>
      <c r="C1471" s="1" t="s">
        <v>8</v>
      </c>
      <c r="D1471" s="1" t="s">
        <v>9</v>
      </c>
      <c r="E1471" s="1">
        <v>0.48036766052245999</v>
      </c>
      <c r="F1471" s="1">
        <f>Tabla1[[#This Row],[tiempo]]/(IF(Tabla1[[#This Row],[tamanho]]=$I$3,$L$3,IF(Tabla1[[#This Row],[tamanho]]=$I$4,$L$4,IF(Tabla1[[#This Row],[tamanho]]=$I$5,$L$5,IF(Tabla1[[#This Row],[tamanho]]=$I$6,$L$6,0))))*IF(C1471="8_1",9,25))</f>
        <v>7.1268522758422907E-7</v>
      </c>
    </row>
    <row r="1472" spans="1:6" ht="12.75" x14ac:dyDescent="0.2">
      <c r="A1472" s="1">
        <v>61</v>
      </c>
      <c r="B1472" s="1">
        <v>2</v>
      </c>
      <c r="C1472" s="1" t="s">
        <v>5</v>
      </c>
      <c r="D1472" s="1" t="s">
        <v>6</v>
      </c>
      <c r="E1472" s="1">
        <v>1.71341800689697</v>
      </c>
      <c r="F1472" s="1">
        <f>Tabla1[[#This Row],[tiempo]]/(IF(Tabla1[[#This Row],[tamanho]]=$I$3,$L$3,IF(Tabla1[[#This Row],[tamanho]]=$I$4,$L$4,IF(Tabla1[[#This Row],[tamanho]]=$I$5,$L$5,IF(Tabla1[[#This Row],[tamanho]]=$I$6,$L$6,0))))*IF(C1472="8_1",9,25))</f>
        <v>1.0373676101181753E-6</v>
      </c>
    </row>
    <row r="1473" spans="1:6" ht="12.75" x14ac:dyDescent="0.2">
      <c r="A1473" s="1">
        <v>61</v>
      </c>
      <c r="B1473" s="1">
        <v>2</v>
      </c>
      <c r="C1473" s="1" t="s">
        <v>7</v>
      </c>
      <c r="D1473" s="1" t="s">
        <v>6</v>
      </c>
      <c r="E1473" s="1">
        <v>1.9288308620452801</v>
      </c>
      <c r="F1473" s="1">
        <f>Tabla1[[#This Row],[tiempo]]/(IF(Tabla1[[#This Row],[tamanho]]=$I$3,$L$3,IF(Tabla1[[#This Row],[tamanho]]=$I$4,$L$4,IF(Tabla1[[#This Row],[tamanho]]=$I$5,$L$5,IF(Tabla1[[#This Row],[tamanho]]=$I$6,$L$6,0))))*IF(C1473="8_1",9,25))</f>
        <v>4.2040319134387813E-7</v>
      </c>
    </row>
    <row r="1474" spans="1:6" ht="12.75" x14ac:dyDescent="0.2">
      <c r="A1474" s="1">
        <v>61</v>
      </c>
      <c r="B1474" s="1">
        <v>2</v>
      </c>
      <c r="C1474" s="1" t="s">
        <v>8</v>
      </c>
      <c r="D1474" s="1" t="s">
        <v>6</v>
      </c>
      <c r="E1474" s="1">
        <v>1.9449601173400799</v>
      </c>
      <c r="F1474" s="1">
        <f>Tabla1[[#This Row],[tiempo]]/(IF(Tabla1[[#This Row],[tamanho]]=$I$3,$L$3,IF(Tabla1[[#This Row],[tamanho]]=$I$4,$L$4,IF(Tabla1[[#This Row],[tamanho]]=$I$5,$L$5,IF(Tabla1[[#This Row],[tamanho]]=$I$6,$L$6,0))))*IF(C1474="8_1",9,25))</f>
        <v>4.239186838286592E-7</v>
      </c>
    </row>
    <row r="1475" spans="1:6" ht="12.75" x14ac:dyDescent="0.2">
      <c r="A1475" s="1">
        <v>61</v>
      </c>
      <c r="B1475" s="1">
        <v>2</v>
      </c>
      <c r="C1475" s="1" t="s">
        <v>5</v>
      </c>
      <c r="D1475" s="1" t="s">
        <v>9</v>
      </c>
      <c r="E1475" s="1">
        <v>1.71746182441711</v>
      </c>
      <c r="F1475" s="1">
        <f>Tabla1[[#This Row],[tiempo]]/(IF(Tabla1[[#This Row],[tamanho]]=$I$3,$L$3,IF(Tabla1[[#This Row],[tamanho]]=$I$4,$L$4,IF(Tabla1[[#This Row],[tamanho]]=$I$5,$L$5,IF(Tabla1[[#This Row],[tamanho]]=$I$6,$L$6,0))))*IF(C1475="8_1",9,25))</f>
        <v>1.0398158891135728E-6</v>
      </c>
    </row>
    <row r="1476" spans="1:6" ht="12.75" x14ac:dyDescent="0.2">
      <c r="A1476" s="1">
        <v>61</v>
      </c>
      <c r="B1476" s="1">
        <v>2</v>
      </c>
      <c r="C1476" s="1" t="s">
        <v>7</v>
      </c>
      <c r="D1476" s="1" t="s">
        <v>9</v>
      </c>
      <c r="E1476" s="1">
        <v>1.91585373878479</v>
      </c>
      <c r="F1476" s="1">
        <f>Tabla1[[#This Row],[tiempo]]/(IF(Tabla1[[#This Row],[tamanho]]=$I$3,$L$3,IF(Tabla1[[#This Row],[tamanho]]=$I$4,$L$4,IF(Tabla1[[#This Row],[tamanho]]=$I$5,$L$5,IF(Tabla1[[#This Row],[tamanho]]=$I$6,$L$6,0))))*IF(C1476="8_1",9,25))</f>
        <v>4.1757472974025783E-7</v>
      </c>
    </row>
    <row r="1477" spans="1:6" ht="12.75" x14ac:dyDescent="0.2">
      <c r="A1477" s="1">
        <v>61</v>
      </c>
      <c r="B1477" s="1">
        <v>2</v>
      </c>
      <c r="C1477" s="1" t="s">
        <v>8</v>
      </c>
      <c r="D1477" s="1" t="s">
        <v>9</v>
      </c>
      <c r="E1477" s="1">
        <v>1.966481924057</v>
      </c>
      <c r="F1477" s="1">
        <f>Tabla1[[#This Row],[tiempo]]/(IF(Tabla1[[#This Row],[tamanho]]=$I$3,$L$3,IF(Tabla1[[#This Row],[tamanho]]=$I$4,$L$4,IF(Tabla1[[#This Row],[tamanho]]=$I$5,$L$5,IF(Tabla1[[#This Row],[tamanho]]=$I$6,$L$6,0))))*IF(C1477="8_1",9,25))</f>
        <v>4.2860952344830594E-7</v>
      </c>
    </row>
    <row r="1478" spans="1:6" ht="12.75" x14ac:dyDescent="0.2">
      <c r="A1478" s="1">
        <v>61</v>
      </c>
      <c r="B1478" s="1">
        <v>3</v>
      </c>
      <c r="C1478" s="1" t="s">
        <v>5</v>
      </c>
      <c r="D1478" s="1" t="s">
        <v>6</v>
      </c>
      <c r="E1478" s="1">
        <v>3.8326463699340798</v>
      </c>
      <c r="F1478" s="1">
        <f>Tabla1[[#This Row],[tiempo]]/(IF(Tabla1[[#This Row],[tamanho]]=$I$3,$L$3,IF(Tabla1[[#This Row],[tamanho]]=$I$4,$L$4,IF(Tabla1[[#This Row],[tamanho]]=$I$5,$L$5,IF(Tabla1[[#This Row],[tamanho]]=$I$6,$L$6,0))))*IF(C1478="8_1",9,25))</f>
        <v>1.0304815613179872E-6</v>
      </c>
    </row>
    <row r="1479" spans="1:6" ht="12.75" x14ac:dyDescent="0.2">
      <c r="A1479" s="1">
        <v>61</v>
      </c>
      <c r="B1479" s="1">
        <v>3</v>
      </c>
      <c r="C1479" s="1" t="s">
        <v>7</v>
      </c>
      <c r="D1479" s="1" t="s">
        <v>6</v>
      </c>
      <c r="E1479" s="1">
        <v>4.3740980625152499</v>
      </c>
      <c r="F1479" s="1">
        <f>Tabla1[[#This Row],[tiempo]]/(IF(Tabla1[[#This Row],[tamanho]]=$I$3,$L$3,IF(Tabla1[[#This Row],[tamanho]]=$I$4,$L$4,IF(Tabla1[[#This Row],[tamanho]]=$I$5,$L$5,IF(Tabla1[[#This Row],[tamanho]]=$I$6,$L$6,0))))*IF(C1479="8_1",9,25))</f>
        <v>4.233820988610125E-7</v>
      </c>
    </row>
    <row r="1480" spans="1:6" ht="12.75" x14ac:dyDescent="0.2">
      <c r="A1480" s="1">
        <v>61</v>
      </c>
      <c r="B1480" s="1">
        <v>3</v>
      </c>
      <c r="C1480" s="1" t="s">
        <v>8</v>
      </c>
      <c r="D1480" s="1" t="s">
        <v>6</v>
      </c>
      <c r="E1480" s="1">
        <v>4.4133718013763401</v>
      </c>
      <c r="F1480" s="1">
        <f>Tabla1[[#This Row],[tiempo]]/(IF(Tabla1[[#This Row],[tamanho]]=$I$3,$L$3,IF(Tabla1[[#This Row],[tamanho]]=$I$4,$L$4,IF(Tabla1[[#This Row],[tamanho]]=$I$5,$L$5,IF(Tabla1[[#This Row],[tamanho]]=$I$6,$L$6,0))))*IF(C1480="8_1",9,25))</f>
        <v>4.2718352209192336E-7</v>
      </c>
    </row>
    <row r="1481" spans="1:6" ht="12.75" x14ac:dyDescent="0.2">
      <c r="A1481" s="1">
        <v>61</v>
      </c>
      <c r="B1481" s="1">
        <v>3</v>
      </c>
      <c r="C1481" s="1" t="s">
        <v>5</v>
      </c>
      <c r="D1481" s="1" t="s">
        <v>9</v>
      </c>
      <c r="E1481" s="1">
        <v>3.88660287857055</v>
      </c>
      <c r="F1481" s="1">
        <f>Tabla1[[#This Row],[tiempo]]/(IF(Tabla1[[#This Row],[tamanho]]=$I$3,$L$3,IF(Tabla1[[#This Row],[tamanho]]=$I$4,$L$4,IF(Tabla1[[#This Row],[tamanho]]=$I$5,$L$5,IF(Tabla1[[#This Row],[tamanho]]=$I$6,$L$6,0))))*IF(C1481="8_1",9,25))</f>
        <v>1.0449888186791547E-6</v>
      </c>
    </row>
    <row r="1482" spans="1:6" ht="12.75" x14ac:dyDescent="0.2">
      <c r="A1482" s="1">
        <v>61</v>
      </c>
      <c r="B1482" s="1">
        <v>3</v>
      </c>
      <c r="C1482" s="1" t="s">
        <v>7</v>
      </c>
      <c r="D1482" s="1" t="s">
        <v>9</v>
      </c>
      <c r="E1482" s="1">
        <v>4.3827881813049299</v>
      </c>
      <c r="F1482" s="1">
        <f>Tabla1[[#This Row],[tiempo]]/(IF(Tabla1[[#This Row],[tamanho]]=$I$3,$L$3,IF(Tabla1[[#This Row],[tamanho]]=$I$4,$L$4,IF(Tabla1[[#This Row],[tamanho]]=$I$5,$L$5,IF(Tabla1[[#This Row],[tamanho]]=$I$6,$L$6,0))))*IF(C1482="8_1",9,25))</f>
        <v>4.2422324157888071E-7</v>
      </c>
    </row>
    <row r="1483" spans="1:6" ht="12.75" x14ac:dyDescent="0.2">
      <c r="A1483" s="1">
        <v>61</v>
      </c>
      <c r="B1483" s="1">
        <v>3</v>
      </c>
      <c r="C1483" s="1" t="s">
        <v>8</v>
      </c>
      <c r="D1483" s="1" t="s">
        <v>9</v>
      </c>
      <c r="E1483" s="1">
        <v>4.4848520755767796</v>
      </c>
      <c r="F1483" s="1">
        <f>Tabla1[[#This Row],[tiempo]]/(IF(Tabla1[[#This Row],[tamanho]]=$I$3,$L$3,IF(Tabla1[[#This Row],[tamanho]]=$I$4,$L$4,IF(Tabla1[[#This Row],[tamanho]]=$I$5,$L$5,IF(Tabla1[[#This Row],[tamanho]]=$I$6,$L$6,0))))*IF(C1483="8_1",9,25))</f>
        <v>4.3410231268271779E-7</v>
      </c>
    </row>
    <row r="1484" spans="1:6" ht="12.75" x14ac:dyDescent="0.2">
      <c r="A1484" s="1">
        <v>61</v>
      </c>
      <c r="B1484" s="1">
        <v>4</v>
      </c>
      <c r="C1484" s="1" t="s">
        <v>5</v>
      </c>
      <c r="D1484" s="1" t="s">
        <v>6</v>
      </c>
      <c r="E1484" s="1">
        <v>7.04329061508178</v>
      </c>
      <c r="F1484" s="1">
        <f>Tabla1[[#This Row],[tiempo]]/(IF(Tabla1[[#This Row],[tamanho]]=$I$3,$L$3,IF(Tabla1[[#This Row],[tamanho]]=$I$4,$L$4,IF(Tabla1[[#This Row],[tamanho]]=$I$5,$L$5,IF(Tabla1[[#This Row],[tamanho]]=$I$6,$L$6,0))))*IF(C1484="8_1",9,25))</f>
        <v>1.0635833859337319E-6</v>
      </c>
    </row>
    <row r="1485" spans="1:6" ht="12.75" x14ac:dyDescent="0.2">
      <c r="A1485" s="1">
        <v>61</v>
      </c>
      <c r="B1485" s="1">
        <v>4</v>
      </c>
      <c r="C1485" s="1" t="s">
        <v>7</v>
      </c>
      <c r="D1485" s="1" t="s">
        <v>6</v>
      </c>
      <c r="E1485" s="1">
        <v>7.8551731109619096</v>
      </c>
      <c r="F1485" s="1">
        <f>Tabla1[[#This Row],[tiempo]]/(IF(Tabla1[[#This Row],[tamanho]]=$I$3,$L$3,IF(Tabla1[[#This Row],[tamanho]]=$I$4,$L$4,IF(Tabla1[[#This Row],[tamanho]]=$I$5,$L$5,IF(Tabla1[[#This Row],[tamanho]]=$I$6,$L$6,0))))*IF(C1485="8_1",9,25))</f>
        <v>4.2702588116449154E-7</v>
      </c>
    </row>
    <row r="1486" spans="1:6" ht="12.75" x14ac:dyDescent="0.2">
      <c r="A1486" s="1">
        <v>61</v>
      </c>
      <c r="B1486" s="1">
        <v>4</v>
      </c>
      <c r="C1486" s="1" t="s">
        <v>8</v>
      </c>
      <c r="D1486" s="1" t="s">
        <v>6</v>
      </c>
      <c r="E1486" s="1">
        <v>7.8016374111175502</v>
      </c>
      <c r="F1486" s="1">
        <f>Tabla1[[#This Row],[tiempo]]/(IF(Tabla1[[#This Row],[tamanho]]=$I$3,$L$3,IF(Tabla1[[#This Row],[tamanho]]=$I$4,$L$4,IF(Tabla1[[#This Row],[tamanho]]=$I$5,$L$5,IF(Tabla1[[#This Row],[tamanho]]=$I$6,$L$6,0))))*IF(C1486="8_1",9,25))</f>
        <v>4.2411555327268577E-7</v>
      </c>
    </row>
    <row r="1487" spans="1:6" ht="12.75" x14ac:dyDescent="0.2">
      <c r="A1487" s="1">
        <v>61</v>
      </c>
      <c r="B1487" s="1">
        <v>4</v>
      </c>
      <c r="C1487" s="1" t="s">
        <v>5</v>
      </c>
      <c r="D1487" s="1" t="s">
        <v>9</v>
      </c>
      <c r="E1487" s="1">
        <v>7.0498745441436697</v>
      </c>
      <c r="F1487" s="1">
        <f>Tabla1[[#This Row],[tiempo]]/(IF(Tabla1[[#This Row],[tamanho]]=$I$3,$L$3,IF(Tabla1[[#This Row],[tamanho]]=$I$4,$L$4,IF(Tabla1[[#This Row],[tamanho]]=$I$5,$L$5,IF(Tabla1[[#This Row],[tamanho]]=$I$6,$L$6,0))))*IF(C1487="8_1",9,25))</f>
        <v>1.0645776026922167E-6</v>
      </c>
    </row>
    <row r="1488" spans="1:6" ht="12.75" x14ac:dyDescent="0.2">
      <c r="A1488" s="1">
        <v>61</v>
      </c>
      <c r="B1488" s="1">
        <v>4</v>
      </c>
      <c r="C1488" s="1" t="s">
        <v>7</v>
      </c>
      <c r="D1488" s="1" t="s">
        <v>9</v>
      </c>
      <c r="E1488" s="1">
        <v>7.8679301738738996</v>
      </c>
      <c r="F1488" s="1">
        <f>Tabla1[[#This Row],[tiempo]]/(IF(Tabla1[[#This Row],[tamanho]]=$I$3,$L$3,IF(Tabla1[[#This Row],[tamanho]]=$I$4,$L$4,IF(Tabla1[[#This Row],[tamanho]]=$I$5,$L$5,IF(Tabla1[[#This Row],[tamanho]]=$I$6,$L$6,0))))*IF(C1488="8_1",9,25))</f>
        <v>4.2771938542647417E-7</v>
      </c>
    </row>
    <row r="1489" spans="1:6" ht="12.75" x14ac:dyDescent="0.2">
      <c r="A1489" s="1">
        <v>61</v>
      </c>
      <c r="B1489" s="1">
        <v>4</v>
      </c>
      <c r="C1489" s="1" t="s">
        <v>8</v>
      </c>
      <c r="D1489" s="1" t="s">
        <v>9</v>
      </c>
      <c r="E1489" s="1">
        <v>7.9287781715393004</v>
      </c>
      <c r="F1489" s="1">
        <f>Tabla1[[#This Row],[tiempo]]/(IF(Tabla1[[#This Row],[tamanho]]=$I$3,$L$3,IF(Tabla1[[#This Row],[tamanho]]=$I$4,$L$4,IF(Tabla1[[#This Row],[tamanho]]=$I$5,$L$5,IF(Tabla1[[#This Row],[tamanho]]=$I$6,$L$6,0))))*IF(C1489="8_1",9,25))</f>
        <v>4.3102722720833158E-7</v>
      </c>
    </row>
    <row r="1490" spans="1:6" ht="12.75" x14ac:dyDescent="0.2">
      <c r="A1490" s="1">
        <v>62</v>
      </c>
      <c r="B1490" s="1">
        <v>1</v>
      </c>
      <c r="C1490" s="1" t="s">
        <v>5</v>
      </c>
      <c r="D1490" s="1" t="s">
        <v>6</v>
      </c>
      <c r="E1490" s="1">
        <v>0.41191983222961398</v>
      </c>
      <c r="F1490" s="1">
        <f>Tabla1[[#This Row],[tiempo]]/(IF(Tabla1[[#This Row],[tamanho]]=$I$3,$L$3,IF(Tabla1[[#This Row],[tamanho]]=$I$4,$L$4,IF(Tabla1[[#This Row],[tamanho]]=$I$5,$L$5,IF(Tabla1[[#This Row],[tamanho]]=$I$6,$L$6,0))))*IF(C1490="8_1",9,25))</f>
        <v>1.6975954247889502E-6</v>
      </c>
    </row>
    <row r="1491" spans="1:6" ht="12.75" x14ac:dyDescent="0.2">
      <c r="A1491" s="1">
        <v>62</v>
      </c>
      <c r="B1491" s="1">
        <v>1</v>
      </c>
      <c r="C1491" s="1" t="s">
        <v>7</v>
      </c>
      <c r="D1491" s="1" t="s">
        <v>6</v>
      </c>
      <c r="E1491" s="1">
        <v>0.45657420158386203</v>
      </c>
      <c r="F1491" s="1">
        <f>Tabla1[[#This Row],[tiempo]]/(IF(Tabla1[[#This Row],[tamanho]]=$I$3,$L$3,IF(Tabla1[[#This Row],[tamanho]]=$I$4,$L$4,IF(Tabla1[[#This Row],[tamanho]]=$I$5,$L$5,IF(Tabla1[[#This Row],[tamanho]]=$I$6,$L$6,0))))*IF(C1491="8_1",9,25))</f>
        <v>6.7738466909070436E-7</v>
      </c>
    </row>
    <row r="1492" spans="1:6" ht="12.75" x14ac:dyDescent="0.2">
      <c r="A1492" s="1">
        <v>62</v>
      </c>
      <c r="B1492" s="1">
        <v>1</v>
      </c>
      <c r="C1492" s="1" t="s">
        <v>8</v>
      </c>
      <c r="D1492" s="1" t="s">
        <v>6</v>
      </c>
      <c r="E1492" s="1">
        <v>0.465857744216918</v>
      </c>
      <c r="F1492" s="1">
        <f>Tabla1[[#This Row],[tiempo]]/(IF(Tabla1[[#This Row],[tamanho]]=$I$3,$L$3,IF(Tabla1[[#This Row],[tamanho]]=$I$4,$L$4,IF(Tabla1[[#This Row],[tamanho]]=$I$5,$L$5,IF(Tabla1[[#This Row],[tamanho]]=$I$6,$L$6,0))))*IF(C1492="8_1",9,25))</f>
        <v>6.9115796033814478E-7</v>
      </c>
    </row>
    <row r="1493" spans="1:6" ht="12.75" x14ac:dyDescent="0.2">
      <c r="A1493" s="1">
        <v>62</v>
      </c>
      <c r="B1493" s="1">
        <v>1</v>
      </c>
      <c r="C1493" s="1" t="s">
        <v>5</v>
      </c>
      <c r="D1493" s="1" t="s">
        <v>9</v>
      </c>
      <c r="E1493" s="1">
        <v>0.416007280349731</v>
      </c>
      <c r="F1493" s="1">
        <f>Tabla1[[#This Row],[tiempo]]/(IF(Tabla1[[#This Row],[tamanho]]=$I$3,$L$3,IF(Tabla1[[#This Row],[tamanho]]=$I$4,$L$4,IF(Tabla1[[#This Row],[tamanho]]=$I$5,$L$5,IF(Tabla1[[#This Row],[tamanho]]=$I$6,$L$6,0))))*IF(C1493="8_1",9,25))</f>
        <v>1.7144405307655544E-6</v>
      </c>
    </row>
    <row r="1494" spans="1:6" ht="12.75" x14ac:dyDescent="0.2">
      <c r="A1494" s="1">
        <v>62</v>
      </c>
      <c r="B1494" s="1">
        <v>1</v>
      </c>
      <c r="C1494" s="1" t="s">
        <v>7</v>
      </c>
      <c r="D1494" s="1" t="s">
        <v>9</v>
      </c>
      <c r="E1494" s="1">
        <v>0.46271371841430597</v>
      </c>
      <c r="F1494" s="1">
        <f>Tabla1[[#This Row],[tiempo]]/(IF(Tabla1[[#This Row],[tamanho]]=$I$3,$L$3,IF(Tabla1[[#This Row],[tamanho]]=$I$4,$L$4,IF(Tabla1[[#This Row],[tamanho]]=$I$5,$L$5,IF(Tabla1[[#This Row],[tamanho]]=$I$6,$L$6,0))))*IF(C1494="8_1",9,25))</f>
        <v>6.8649340664560811E-7</v>
      </c>
    </row>
    <row r="1495" spans="1:6" ht="12.75" x14ac:dyDescent="0.2">
      <c r="A1495" s="1">
        <v>62</v>
      </c>
      <c r="B1495" s="1">
        <v>1</v>
      </c>
      <c r="C1495" s="1" t="s">
        <v>8</v>
      </c>
      <c r="D1495" s="1" t="s">
        <v>9</v>
      </c>
      <c r="E1495" s="1">
        <v>0.47501611709594699</v>
      </c>
      <c r="F1495" s="1">
        <f>Tabla1[[#This Row],[tiempo]]/(IF(Tabla1[[#This Row],[tamanho]]=$I$3,$L$3,IF(Tabla1[[#This Row],[tamanho]]=$I$4,$L$4,IF(Tabla1[[#This Row],[tamanho]]=$I$5,$L$5,IF(Tabla1[[#This Row],[tamanho]]=$I$6,$L$6,0))))*IF(C1495="8_1",9,25))</f>
        <v>7.0474554667252251E-7</v>
      </c>
    </row>
    <row r="1496" spans="1:6" ht="12.75" x14ac:dyDescent="0.2">
      <c r="A1496" s="1">
        <v>62</v>
      </c>
      <c r="B1496" s="1">
        <v>2</v>
      </c>
      <c r="C1496" s="1" t="s">
        <v>5</v>
      </c>
      <c r="D1496" s="1" t="s">
        <v>6</v>
      </c>
      <c r="E1496" s="1">
        <v>1.74002480506896</v>
      </c>
      <c r="F1496" s="1">
        <f>Tabla1[[#This Row],[tiempo]]/(IF(Tabla1[[#This Row],[tamanho]]=$I$3,$L$3,IF(Tabla1[[#This Row],[tamanho]]=$I$4,$L$4,IF(Tabla1[[#This Row],[tamanho]]=$I$5,$L$5,IF(Tabla1[[#This Row],[tamanho]]=$I$6,$L$6,0))))*IF(C1496="8_1",9,25))</f>
        <v>1.0534763649704486E-6</v>
      </c>
    </row>
    <row r="1497" spans="1:6" ht="12.75" x14ac:dyDescent="0.2">
      <c r="A1497" s="1">
        <v>62</v>
      </c>
      <c r="B1497" s="1">
        <v>2</v>
      </c>
      <c r="C1497" s="1" t="s">
        <v>7</v>
      </c>
      <c r="D1497" s="1" t="s">
        <v>6</v>
      </c>
      <c r="E1497" s="1">
        <v>1.97505950927734</v>
      </c>
      <c r="F1497" s="1">
        <f>Tabla1[[#This Row],[tiempo]]/(IF(Tabla1[[#This Row],[tamanho]]=$I$3,$L$3,IF(Tabla1[[#This Row],[tamanho]]=$I$4,$L$4,IF(Tabla1[[#This Row],[tamanho]]=$I$5,$L$5,IF(Tabla1[[#This Row],[tamanho]]=$I$6,$L$6,0))))*IF(C1497="8_1",9,25))</f>
        <v>4.3047907265120041E-7</v>
      </c>
    </row>
    <row r="1498" spans="1:6" ht="12.75" x14ac:dyDescent="0.2">
      <c r="A1498" s="1">
        <v>62</v>
      </c>
      <c r="B1498" s="1">
        <v>2</v>
      </c>
      <c r="C1498" s="1" t="s">
        <v>8</v>
      </c>
      <c r="D1498" s="1" t="s">
        <v>6</v>
      </c>
      <c r="E1498" s="1">
        <v>1.93448257446289</v>
      </c>
      <c r="F1498" s="1">
        <f>Tabla1[[#This Row],[tiempo]]/(IF(Tabla1[[#This Row],[tamanho]]=$I$3,$L$3,IF(Tabla1[[#This Row],[tamanho]]=$I$4,$L$4,IF(Tabla1[[#This Row],[tamanho]]=$I$5,$L$5,IF(Tabla1[[#This Row],[tamanho]]=$I$6,$L$6,0))))*IF(C1498="8_1",9,25))</f>
        <v>4.2163502456662196E-7</v>
      </c>
    </row>
    <row r="1499" spans="1:6" ht="12.75" x14ac:dyDescent="0.2">
      <c r="A1499" s="1">
        <v>62</v>
      </c>
      <c r="B1499" s="1">
        <v>2</v>
      </c>
      <c r="C1499" s="1" t="s">
        <v>5</v>
      </c>
      <c r="D1499" s="1" t="s">
        <v>9</v>
      </c>
      <c r="E1499" s="1">
        <v>1.7297682762145901</v>
      </c>
      <c r="F1499" s="1">
        <f>Tabla1[[#This Row],[tiempo]]/(IF(Tabla1[[#This Row],[tamanho]]=$I$3,$L$3,IF(Tabla1[[#This Row],[tamanho]]=$I$4,$L$4,IF(Tabla1[[#This Row],[tamanho]]=$I$5,$L$5,IF(Tabla1[[#This Row],[tamanho]]=$I$6,$L$6,0))))*IF(C1499="8_1",9,25))</f>
        <v>1.0472666772101136E-6</v>
      </c>
    </row>
    <row r="1500" spans="1:6" ht="12.75" x14ac:dyDescent="0.2">
      <c r="A1500" s="1">
        <v>62</v>
      </c>
      <c r="B1500" s="1">
        <v>2</v>
      </c>
      <c r="C1500" s="1" t="s">
        <v>7</v>
      </c>
      <c r="D1500" s="1" t="s">
        <v>9</v>
      </c>
      <c r="E1500" s="1">
        <v>1.9417080879211399</v>
      </c>
      <c r="F1500" s="1">
        <f>Tabla1[[#This Row],[tiempo]]/(IF(Tabla1[[#This Row],[tamanho]]=$I$3,$L$3,IF(Tabla1[[#This Row],[tamanho]]=$I$4,$L$4,IF(Tabla1[[#This Row],[tamanho]]=$I$5,$L$5,IF(Tabla1[[#This Row],[tamanho]]=$I$6,$L$6,0))))*IF(C1500="8_1",9,25))</f>
        <v>4.2320987956128202E-7</v>
      </c>
    </row>
    <row r="1501" spans="1:6" ht="12.75" x14ac:dyDescent="0.2">
      <c r="A1501" s="1">
        <v>62</v>
      </c>
      <c r="B1501" s="1">
        <v>2</v>
      </c>
      <c r="C1501" s="1" t="s">
        <v>8</v>
      </c>
      <c r="D1501" s="1" t="s">
        <v>9</v>
      </c>
      <c r="E1501" s="1">
        <v>1.95090508460998</v>
      </c>
      <c r="F1501" s="1">
        <f>Tabla1[[#This Row],[tiempo]]/(IF(Tabla1[[#This Row],[tamanho]]=$I$3,$L$3,IF(Tabla1[[#This Row],[tamanho]]=$I$4,$L$4,IF(Tabla1[[#This Row],[tamanho]]=$I$5,$L$5,IF(Tabla1[[#This Row],[tamanho]]=$I$6,$L$6,0))))*IF(C1501="8_1",9,25))</f>
        <v>4.2521443415175948E-7</v>
      </c>
    </row>
    <row r="1502" spans="1:6" ht="12.75" x14ac:dyDescent="0.2">
      <c r="A1502" s="1">
        <v>62</v>
      </c>
      <c r="B1502" s="1">
        <v>3</v>
      </c>
      <c r="C1502" s="1" t="s">
        <v>5</v>
      </c>
      <c r="D1502" s="1" t="s">
        <v>6</v>
      </c>
      <c r="E1502" s="1">
        <v>3.8932104110717698</v>
      </c>
      <c r="F1502" s="1">
        <f>Tabla1[[#This Row],[tiempo]]/(IF(Tabla1[[#This Row],[tamanho]]=$I$3,$L$3,IF(Tabla1[[#This Row],[tamanho]]=$I$4,$L$4,IF(Tabla1[[#This Row],[tamanho]]=$I$5,$L$5,IF(Tabla1[[#This Row],[tamanho]]=$I$6,$L$6,0))))*IF(C1502="8_1",9,25))</f>
        <v>1.046765382377212E-6</v>
      </c>
    </row>
    <row r="1503" spans="1:6" ht="12.75" x14ac:dyDescent="0.2">
      <c r="A1503" s="1">
        <v>62</v>
      </c>
      <c r="B1503" s="1">
        <v>3</v>
      </c>
      <c r="C1503" s="1" t="s">
        <v>7</v>
      </c>
      <c r="D1503" s="1" t="s">
        <v>6</v>
      </c>
      <c r="E1503" s="1">
        <v>4.3700859546661297</v>
      </c>
      <c r="F1503" s="1">
        <f>Tabla1[[#This Row],[tiempo]]/(IF(Tabla1[[#This Row],[tamanho]]=$I$3,$L$3,IF(Tabla1[[#This Row],[tamanho]]=$I$4,$L$4,IF(Tabla1[[#This Row],[tamanho]]=$I$5,$L$5,IF(Tabla1[[#This Row],[tamanho]]=$I$6,$L$6,0))))*IF(C1503="8_1",9,25))</f>
        <v>4.2299375488295351E-7</v>
      </c>
    </row>
    <row r="1504" spans="1:6" ht="12.75" x14ac:dyDescent="0.2">
      <c r="A1504" s="1">
        <v>62</v>
      </c>
      <c r="B1504" s="1">
        <v>3</v>
      </c>
      <c r="C1504" s="1" t="s">
        <v>8</v>
      </c>
      <c r="D1504" s="1" t="s">
        <v>6</v>
      </c>
      <c r="E1504" s="1">
        <v>4.4334809780120796</v>
      </c>
      <c r="F1504" s="1">
        <f>Tabla1[[#This Row],[tiempo]]/(IF(Tabla1[[#This Row],[tamanho]]=$I$3,$L$3,IF(Tabla1[[#This Row],[tamanho]]=$I$4,$L$4,IF(Tabla1[[#This Row],[tamanho]]=$I$5,$L$5,IF(Tabla1[[#This Row],[tamanho]]=$I$6,$L$6,0))))*IF(C1504="8_1",9,25))</f>
        <v>4.2912994974140101E-7</v>
      </c>
    </row>
    <row r="1505" spans="1:6" ht="12.75" x14ac:dyDescent="0.2">
      <c r="A1505" s="1">
        <v>62</v>
      </c>
      <c r="B1505" s="1">
        <v>3</v>
      </c>
      <c r="C1505" s="1" t="s">
        <v>5</v>
      </c>
      <c r="D1505" s="1" t="s">
        <v>9</v>
      </c>
      <c r="E1505" s="1">
        <v>3.9115681648254301</v>
      </c>
      <c r="F1505" s="1">
        <f>Tabla1[[#This Row],[tiempo]]/(IF(Tabla1[[#This Row],[tamanho]]=$I$3,$L$3,IF(Tabla1[[#This Row],[tamanho]]=$I$4,$L$4,IF(Tabla1[[#This Row],[tamanho]]=$I$5,$L$5,IF(Tabla1[[#This Row],[tamanho]]=$I$6,$L$6,0))))*IF(C1505="8_1",9,25))</f>
        <v>1.0517012217227784E-6</v>
      </c>
    </row>
    <row r="1506" spans="1:6" ht="12.75" x14ac:dyDescent="0.2">
      <c r="A1506" s="1">
        <v>62</v>
      </c>
      <c r="B1506" s="1">
        <v>3</v>
      </c>
      <c r="C1506" s="1" t="s">
        <v>7</v>
      </c>
      <c r="D1506" s="1" t="s">
        <v>9</v>
      </c>
      <c r="E1506" s="1">
        <v>4.4193172454833904</v>
      </c>
      <c r="F1506" s="1">
        <f>Tabla1[[#This Row],[tiempo]]/(IF(Tabla1[[#This Row],[tamanho]]=$I$3,$L$3,IF(Tabla1[[#This Row],[tamanho]]=$I$4,$L$4,IF(Tabla1[[#This Row],[tamanho]]=$I$5,$L$5,IF(Tabla1[[#This Row],[tamanho]]=$I$6,$L$6,0))))*IF(C1506="8_1",9,25))</f>
        <v>4.2775899949748853E-7</v>
      </c>
    </row>
    <row r="1507" spans="1:6" ht="12.75" x14ac:dyDescent="0.2">
      <c r="A1507" s="1">
        <v>62</v>
      </c>
      <c r="B1507" s="1">
        <v>3</v>
      </c>
      <c r="C1507" s="1" t="s">
        <v>8</v>
      </c>
      <c r="D1507" s="1" t="s">
        <v>9</v>
      </c>
      <c r="E1507" s="1">
        <v>4.4110081195831299</v>
      </c>
      <c r="F1507" s="1">
        <f>Tabla1[[#This Row],[tiempo]]/(IF(Tabla1[[#This Row],[tamanho]]=$I$3,$L$3,IF(Tabla1[[#This Row],[tamanho]]=$I$4,$L$4,IF(Tabla1[[#This Row],[tamanho]]=$I$5,$L$5,IF(Tabla1[[#This Row],[tamanho]]=$I$6,$L$6,0))))*IF(C1507="8_1",9,25))</f>
        <v>4.2695473422655179E-7</v>
      </c>
    </row>
    <row r="1508" spans="1:6" ht="12.75" x14ac:dyDescent="0.2">
      <c r="A1508" s="1">
        <v>62</v>
      </c>
      <c r="B1508" s="1">
        <v>4</v>
      </c>
      <c r="C1508" s="1" t="s">
        <v>5</v>
      </c>
      <c r="D1508" s="1" t="s">
        <v>6</v>
      </c>
      <c r="E1508" s="1">
        <v>7.0385534763336102</v>
      </c>
      <c r="F1508" s="1">
        <f>Tabla1[[#This Row],[tiempo]]/(IF(Tabla1[[#This Row],[tamanho]]=$I$3,$L$3,IF(Tabla1[[#This Row],[tamanho]]=$I$4,$L$4,IF(Tabla1[[#This Row],[tamanho]]=$I$5,$L$5,IF(Tabla1[[#This Row],[tamanho]]=$I$6,$L$6,0))))*IF(C1508="8_1",9,25))</f>
        <v>1.0628680467059814E-6</v>
      </c>
    </row>
    <row r="1509" spans="1:6" ht="12.75" x14ac:dyDescent="0.2">
      <c r="A1509" s="1">
        <v>62</v>
      </c>
      <c r="B1509" s="1">
        <v>4</v>
      </c>
      <c r="C1509" s="1" t="s">
        <v>7</v>
      </c>
      <c r="D1509" s="1" t="s">
        <v>6</v>
      </c>
      <c r="E1509" s="1">
        <v>7.8672912120819003</v>
      </c>
      <c r="F1509" s="1">
        <f>Tabla1[[#This Row],[tiempo]]/(IF(Tabla1[[#This Row],[tamanho]]=$I$3,$L$3,IF(Tabla1[[#This Row],[tamanho]]=$I$4,$L$4,IF(Tabla1[[#This Row],[tamanho]]=$I$5,$L$5,IF(Tabla1[[#This Row],[tamanho]]=$I$6,$L$6,0))))*IF(C1509="8_1",9,25))</f>
        <v>4.2768464994472163E-7</v>
      </c>
    </row>
    <row r="1510" spans="1:6" ht="12.75" x14ac:dyDescent="0.2">
      <c r="A1510" s="1">
        <v>62</v>
      </c>
      <c r="B1510" s="1">
        <v>4</v>
      </c>
      <c r="C1510" s="1" t="s">
        <v>8</v>
      </c>
      <c r="D1510" s="1" t="s">
        <v>6</v>
      </c>
      <c r="E1510" s="1">
        <v>7.8195497989654497</v>
      </c>
      <c r="F1510" s="1">
        <f>Tabla1[[#This Row],[tiempo]]/(IF(Tabla1[[#This Row],[tamanho]]=$I$3,$L$3,IF(Tabla1[[#This Row],[tamanho]]=$I$4,$L$4,IF(Tabla1[[#This Row],[tamanho]]=$I$5,$L$5,IF(Tabla1[[#This Row],[tamanho]]=$I$6,$L$6,0))))*IF(C1510="8_1",9,25))</f>
        <v>4.2508931325180516E-7</v>
      </c>
    </row>
    <row r="1511" spans="1:6" ht="12.75" x14ac:dyDescent="0.2">
      <c r="A1511" s="1">
        <v>62</v>
      </c>
      <c r="B1511" s="1">
        <v>4</v>
      </c>
      <c r="C1511" s="1" t="s">
        <v>5</v>
      </c>
      <c r="D1511" s="1" t="s">
        <v>9</v>
      </c>
      <c r="E1511" s="1">
        <v>7.0550403594970703</v>
      </c>
      <c r="F1511" s="1">
        <f>Tabla1[[#This Row],[tiempo]]/(IF(Tabla1[[#This Row],[tamanho]]=$I$3,$L$3,IF(Tabla1[[#This Row],[tamanho]]=$I$4,$L$4,IF(Tabla1[[#This Row],[tamanho]]=$I$5,$L$5,IF(Tabla1[[#This Row],[tamanho]]=$I$6,$L$6,0))))*IF(C1511="8_1",9,25))</f>
        <v>1.065357674917678E-6</v>
      </c>
    </row>
    <row r="1512" spans="1:6" ht="12.75" x14ac:dyDescent="0.2">
      <c r="A1512" s="1">
        <v>62</v>
      </c>
      <c r="B1512" s="1">
        <v>4</v>
      </c>
      <c r="C1512" s="1" t="s">
        <v>7</v>
      </c>
      <c r="D1512" s="1" t="s">
        <v>9</v>
      </c>
      <c r="E1512" s="1">
        <v>7.8709306716918901</v>
      </c>
      <c r="F1512" s="1">
        <f>Tabla1[[#This Row],[tiempo]]/(IF(Tabla1[[#This Row],[tamanho]]=$I$3,$L$3,IF(Tabla1[[#This Row],[tamanho]]=$I$4,$L$4,IF(Tabla1[[#This Row],[tamanho]]=$I$5,$L$5,IF(Tabla1[[#This Row],[tamanho]]=$I$6,$L$6,0))))*IF(C1512="8_1",9,25))</f>
        <v>4.2788249961970201E-7</v>
      </c>
    </row>
    <row r="1513" spans="1:6" ht="12.75" x14ac:dyDescent="0.2">
      <c r="A1513" s="1">
        <v>62</v>
      </c>
      <c r="B1513" s="1">
        <v>4</v>
      </c>
      <c r="C1513" s="1" t="s">
        <v>8</v>
      </c>
      <c r="D1513" s="1" t="s">
        <v>9</v>
      </c>
      <c r="E1513" s="1">
        <v>7.9065136909484801</v>
      </c>
      <c r="F1513" s="1">
        <f>Tabla1[[#This Row],[tiempo]]/(IF(Tabla1[[#This Row],[tamanho]]=$I$3,$L$3,IF(Tabla1[[#This Row],[tamanho]]=$I$4,$L$4,IF(Tabla1[[#This Row],[tamanho]]=$I$5,$L$5,IF(Tabla1[[#This Row],[tamanho]]=$I$6,$L$6,0))))*IF(C1513="8_1",9,25))</f>
        <v>4.2981687712327783E-7</v>
      </c>
    </row>
    <row r="1514" spans="1:6" ht="12.75" x14ac:dyDescent="0.2">
      <c r="A1514" s="1">
        <v>63</v>
      </c>
      <c r="B1514" s="1">
        <v>1</v>
      </c>
      <c r="C1514" s="1" t="s">
        <v>5</v>
      </c>
      <c r="D1514" s="1" t="s">
        <v>6</v>
      </c>
      <c r="E1514" s="1">
        <v>0.42833542823791498</v>
      </c>
      <c r="F1514" s="1">
        <f>Tabla1[[#This Row],[tiempo]]/(IF(Tabla1[[#This Row],[tamanho]]=$I$3,$L$3,IF(Tabla1[[#This Row],[tamanho]]=$I$4,$L$4,IF(Tabla1[[#This Row],[tamanho]]=$I$5,$L$5,IF(Tabla1[[#This Row],[tamanho]]=$I$6,$L$6,0))))*IF(C1514="8_1",9,25))</f>
        <v>1.7652470368223853E-6</v>
      </c>
    </row>
    <row r="1515" spans="1:6" ht="12.75" x14ac:dyDescent="0.2">
      <c r="A1515" s="1">
        <v>63</v>
      </c>
      <c r="B1515" s="1">
        <v>1</v>
      </c>
      <c r="C1515" s="1" t="s">
        <v>7</v>
      </c>
      <c r="D1515" s="1" t="s">
        <v>6</v>
      </c>
      <c r="E1515" s="1">
        <v>0.47210931777954102</v>
      </c>
      <c r="F1515" s="1">
        <f>Tabla1[[#This Row],[tiempo]]/(IF(Tabla1[[#This Row],[tamanho]]=$I$3,$L$3,IF(Tabla1[[#This Row],[tamanho]]=$I$4,$L$4,IF(Tabla1[[#This Row],[tamanho]]=$I$5,$L$5,IF(Tabla1[[#This Row],[tamanho]]=$I$6,$L$6,0))))*IF(C1515="8_1",9,25))</f>
        <v>7.0043294800569861E-7</v>
      </c>
    </row>
    <row r="1516" spans="1:6" ht="12.75" x14ac:dyDescent="0.2">
      <c r="A1516" s="1">
        <v>63</v>
      </c>
      <c r="B1516" s="1">
        <v>1</v>
      </c>
      <c r="C1516" s="1" t="s">
        <v>8</v>
      </c>
      <c r="D1516" s="1" t="s">
        <v>6</v>
      </c>
      <c r="E1516" s="1">
        <v>0.47256422042846602</v>
      </c>
      <c r="F1516" s="1">
        <f>Tabla1[[#This Row],[tiempo]]/(IF(Tabla1[[#This Row],[tamanho]]=$I$3,$L$3,IF(Tabla1[[#This Row],[tamanho]]=$I$4,$L$4,IF(Tabla1[[#This Row],[tamanho]]=$I$5,$L$5,IF(Tabla1[[#This Row],[tamanho]]=$I$6,$L$6,0))))*IF(C1516="8_1",9,25))</f>
        <v>7.0110785271832052E-7</v>
      </c>
    </row>
    <row r="1517" spans="1:6" ht="12.75" x14ac:dyDescent="0.2">
      <c r="A1517" s="1">
        <v>63</v>
      </c>
      <c r="B1517" s="1">
        <v>1</v>
      </c>
      <c r="C1517" s="1" t="s">
        <v>5</v>
      </c>
      <c r="D1517" s="1" t="s">
        <v>9</v>
      </c>
      <c r="E1517" s="1">
        <v>0.41703772544860801</v>
      </c>
      <c r="F1517" s="1">
        <f>Tabla1[[#This Row],[tiempo]]/(IF(Tabla1[[#This Row],[tamanho]]=$I$3,$L$3,IF(Tabla1[[#This Row],[tamanho]]=$I$4,$L$4,IF(Tabla1[[#This Row],[tamanho]]=$I$5,$L$5,IF(Tabla1[[#This Row],[tamanho]]=$I$6,$L$6,0))))*IF(C1517="8_1",9,25))</f>
        <v>1.7186871796240991E-6</v>
      </c>
    </row>
    <row r="1518" spans="1:6" ht="12.75" x14ac:dyDescent="0.2">
      <c r="A1518" s="1">
        <v>63</v>
      </c>
      <c r="B1518" s="1">
        <v>1</v>
      </c>
      <c r="C1518" s="1" t="s">
        <v>7</v>
      </c>
      <c r="D1518" s="1" t="s">
        <v>9</v>
      </c>
      <c r="E1518" s="1">
        <v>0.46840167045593201</v>
      </c>
      <c r="F1518" s="1">
        <f>Tabla1[[#This Row],[tiempo]]/(IF(Tabla1[[#This Row],[tamanho]]=$I$3,$L$3,IF(Tabla1[[#This Row],[tamanho]]=$I$4,$L$4,IF(Tabla1[[#This Row],[tamanho]]=$I$5,$L$5,IF(Tabla1[[#This Row],[tamanho]]=$I$6,$L$6,0))))*IF(C1518="8_1",9,25))</f>
        <v>6.9493219161890431E-7</v>
      </c>
    </row>
    <row r="1519" spans="1:6" ht="12.75" x14ac:dyDescent="0.2">
      <c r="A1519" s="1">
        <v>63</v>
      </c>
      <c r="B1519" s="1">
        <v>1</v>
      </c>
      <c r="C1519" s="1" t="s">
        <v>8</v>
      </c>
      <c r="D1519" s="1" t="s">
        <v>9</v>
      </c>
      <c r="E1519" s="1">
        <v>0.46976470947265597</v>
      </c>
      <c r="F1519" s="1">
        <f>Tabla1[[#This Row],[tiempo]]/(IF(Tabla1[[#This Row],[tamanho]]=$I$3,$L$3,IF(Tabla1[[#This Row],[tamanho]]=$I$4,$L$4,IF(Tabla1[[#This Row],[tamanho]]=$I$5,$L$5,IF(Tabla1[[#This Row],[tamanho]]=$I$6,$L$6,0))))*IF(C1519="8_1",9,25))</f>
        <v>6.9695442969126658E-7</v>
      </c>
    </row>
    <row r="1520" spans="1:6" ht="12.75" x14ac:dyDescent="0.2">
      <c r="A1520" s="1">
        <v>63</v>
      </c>
      <c r="B1520" s="1">
        <v>2</v>
      </c>
      <c r="C1520" s="1" t="s">
        <v>5</v>
      </c>
      <c r="D1520" s="1" t="s">
        <v>6</v>
      </c>
      <c r="E1520" s="1">
        <v>1.73900175094604</v>
      </c>
      <c r="F1520" s="1">
        <f>Tabla1[[#This Row],[tiempo]]/(IF(Tabla1[[#This Row],[tamanho]]=$I$3,$L$3,IF(Tabla1[[#This Row],[tamanho]]=$I$4,$L$4,IF(Tabla1[[#This Row],[tamanho]]=$I$5,$L$5,IF(Tabla1[[#This Row],[tamanho]]=$I$6,$L$6,0))))*IF(C1520="8_1",9,25))</f>
        <v>1.0528569695828414E-6</v>
      </c>
    </row>
    <row r="1521" spans="1:6" ht="12.75" x14ac:dyDescent="0.2">
      <c r="A1521" s="1">
        <v>63</v>
      </c>
      <c r="B1521" s="1">
        <v>2</v>
      </c>
      <c r="C1521" s="1" t="s">
        <v>7</v>
      </c>
      <c r="D1521" s="1" t="s">
        <v>6</v>
      </c>
      <c r="E1521" s="1">
        <v>1.9672255516052199</v>
      </c>
      <c r="F1521" s="1">
        <f>Tabla1[[#This Row],[tiempo]]/(IF(Tabla1[[#This Row],[tamanho]]=$I$3,$L$3,IF(Tabla1[[#This Row],[tamanho]]=$I$4,$L$4,IF(Tabla1[[#This Row],[tamanho]]=$I$5,$L$5,IF(Tabla1[[#This Row],[tamanho]]=$I$6,$L$6,0))))*IF(C1521="8_1",9,25))</f>
        <v>4.2877160266457864E-7</v>
      </c>
    </row>
    <row r="1522" spans="1:6" ht="12.75" x14ac:dyDescent="0.2">
      <c r="A1522" s="1">
        <v>63</v>
      </c>
      <c r="B1522" s="1">
        <v>2</v>
      </c>
      <c r="C1522" s="1" t="s">
        <v>8</v>
      </c>
      <c r="D1522" s="1" t="s">
        <v>6</v>
      </c>
      <c r="E1522" s="1">
        <v>1.9941105842590301</v>
      </c>
      <c r="F1522" s="1">
        <f>Tabla1[[#This Row],[tiempo]]/(IF(Tabla1[[#This Row],[tamanho]]=$I$3,$L$3,IF(Tabla1[[#This Row],[tamanho]]=$I$4,$L$4,IF(Tabla1[[#This Row],[tamanho]]=$I$5,$L$5,IF(Tabla1[[#This Row],[tamanho]]=$I$6,$L$6,0))))*IF(C1522="8_1",9,25))</f>
        <v>4.3463139770905505E-7</v>
      </c>
    </row>
    <row r="1523" spans="1:6" ht="12.75" x14ac:dyDescent="0.2">
      <c r="A1523" s="1">
        <v>63</v>
      </c>
      <c r="B1523" s="1">
        <v>2</v>
      </c>
      <c r="C1523" s="1" t="s">
        <v>5</v>
      </c>
      <c r="D1523" s="1" t="s">
        <v>9</v>
      </c>
      <c r="E1523" s="1">
        <v>1.7586452960968</v>
      </c>
      <c r="F1523" s="1">
        <f>Tabla1[[#This Row],[tiempo]]/(IF(Tabla1[[#This Row],[tamanho]]=$I$3,$L$3,IF(Tabla1[[#This Row],[tamanho]]=$I$4,$L$4,IF(Tabla1[[#This Row],[tamanho]]=$I$5,$L$5,IF(Tabla1[[#This Row],[tamanho]]=$I$6,$L$6,0))))*IF(C1523="8_1",9,25))</f>
        <v>1.0647499095456917E-6</v>
      </c>
    </row>
    <row r="1524" spans="1:6" ht="12.75" x14ac:dyDescent="0.2">
      <c r="A1524" s="1">
        <v>63</v>
      </c>
      <c r="B1524" s="1">
        <v>2</v>
      </c>
      <c r="C1524" s="1" t="s">
        <v>7</v>
      </c>
      <c r="D1524" s="1" t="s">
        <v>9</v>
      </c>
      <c r="E1524" s="1">
        <v>1.9544711112976001</v>
      </c>
      <c r="F1524" s="1">
        <f>Tabla1[[#This Row],[tiempo]]/(IF(Tabla1[[#This Row],[tamanho]]=$I$3,$L$3,IF(Tabla1[[#This Row],[tamanho]]=$I$4,$L$4,IF(Tabla1[[#This Row],[tamanho]]=$I$5,$L$5,IF(Tabla1[[#This Row],[tamanho]]=$I$6,$L$6,0))))*IF(C1524="8_1",9,25))</f>
        <v>4.2599167648512987E-7</v>
      </c>
    </row>
    <row r="1525" spans="1:6" ht="12.75" x14ac:dyDescent="0.2">
      <c r="A1525" s="1">
        <v>63</v>
      </c>
      <c r="B1525" s="1">
        <v>2</v>
      </c>
      <c r="C1525" s="1" t="s">
        <v>8</v>
      </c>
      <c r="D1525" s="1" t="s">
        <v>9</v>
      </c>
      <c r="E1525" s="1">
        <v>1.9875042438507</v>
      </c>
      <c r="F1525" s="1">
        <f>Tabla1[[#This Row],[tiempo]]/(IF(Tabla1[[#This Row],[tamanho]]=$I$3,$L$3,IF(Tabla1[[#This Row],[tamanho]]=$I$4,$L$4,IF(Tabla1[[#This Row],[tamanho]]=$I$5,$L$5,IF(Tabla1[[#This Row],[tamanho]]=$I$6,$L$6,0))))*IF(C1525="8_1",9,25))</f>
        <v>4.3319149613685554E-7</v>
      </c>
    </row>
    <row r="1526" spans="1:6" ht="12.75" x14ac:dyDescent="0.2">
      <c r="A1526" s="1">
        <v>63</v>
      </c>
      <c r="B1526" s="1">
        <v>3</v>
      </c>
      <c r="C1526" s="1" t="s">
        <v>5</v>
      </c>
      <c r="D1526" s="1" t="s">
        <v>6</v>
      </c>
      <c r="E1526" s="1">
        <v>3.95229172706604</v>
      </c>
      <c r="F1526" s="1">
        <f>Tabla1[[#This Row],[tiempo]]/(IF(Tabla1[[#This Row],[tamanho]]=$I$3,$L$3,IF(Tabla1[[#This Row],[tamanho]]=$I$4,$L$4,IF(Tabla1[[#This Row],[tamanho]]=$I$5,$L$5,IF(Tabla1[[#This Row],[tamanho]]=$I$6,$L$6,0))))*IF(C1526="8_1",9,25))</f>
        <v>1.0626505439272309E-6</v>
      </c>
    </row>
    <row r="1527" spans="1:6" ht="12.75" x14ac:dyDescent="0.2">
      <c r="A1527" s="1">
        <v>63</v>
      </c>
      <c r="B1527" s="1">
        <v>3</v>
      </c>
      <c r="C1527" s="1" t="s">
        <v>7</v>
      </c>
      <c r="D1527" s="1" t="s">
        <v>6</v>
      </c>
      <c r="E1527" s="1">
        <v>4.3908174037933296</v>
      </c>
      <c r="F1527" s="1">
        <f>Tabla1[[#This Row],[tiempo]]/(IF(Tabla1[[#This Row],[tamanho]]=$I$3,$L$3,IF(Tabla1[[#This Row],[tamanho]]=$I$4,$L$4,IF(Tabla1[[#This Row],[tamanho]]=$I$5,$L$5,IF(Tabla1[[#This Row],[tamanho]]=$I$6,$L$6,0))))*IF(C1527="8_1",9,25))</f>
        <v>4.2500041415726731E-7</v>
      </c>
    </row>
    <row r="1528" spans="1:6" ht="12.75" x14ac:dyDescent="0.2">
      <c r="A1528" s="1">
        <v>63</v>
      </c>
      <c r="B1528" s="1">
        <v>3</v>
      </c>
      <c r="C1528" s="1" t="s">
        <v>8</v>
      </c>
      <c r="D1528" s="1" t="s">
        <v>6</v>
      </c>
      <c r="E1528" s="1">
        <v>4.4743056297302202</v>
      </c>
      <c r="F1528" s="1">
        <f>Tabla1[[#This Row],[tiempo]]/(IF(Tabla1[[#This Row],[tamanho]]=$I$3,$L$3,IF(Tabla1[[#This Row],[tamanho]]=$I$4,$L$4,IF(Tabla1[[#This Row],[tamanho]]=$I$5,$L$5,IF(Tabla1[[#This Row],[tamanho]]=$I$6,$L$6,0))))*IF(C1528="8_1",9,25))</f>
        <v>4.3308149048938257E-7</v>
      </c>
    </row>
    <row r="1529" spans="1:6" ht="12.75" x14ac:dyDescent="0.2">
      <c r="A1529" s="1">
        <v>63</v>
      </c>
      <c r="B1529" s="1">
        <v>3</v>
      </c>
      <c r="C1529" s="1" t="s">
        <v>5</v>
      </c>
      <c r="D1529" s="1" t="s">
        <v>9</v>
      </c>
      <c r="E1529" s="1">
        <v>3.95897960662841</v>
      </c>
      <c r="F1529" s="1">
        <f>Tabla1[[#This Row],[tiempo]]/(IF(Tabla1[[#This Row],[tamanho]]=$I$3,$L$3,IF(Tabla1[[#This Row],[tamanho]]=$I$4,$L$4,IF(Tabla1[[#This Row],[tamanho]]=$I$5,$L$5,IF(Tabla1[[#This Row],[tamanho]]=$I$6,$L$6,0))))*IF(C1529="8_1",9,25))</f>
        <v>1.0644487104962631E-6</v>
      </c>
    </row>
    <row r="1530" spans="1:6" ht="12.75" x14ac:dyDescent="0.2">
      <c r="A1530" s="1">
        <v>63</v>
      </c>
      <c r="B1530" s="1">
        <v>3</v>
      </c>
      <c r="C1530" s="1" t="s">
        <v>7</v>
      </c>
      <c r="D1530" s="1" t="s">
        <v>9</v>
      </c>
      <c r="E1530" s="1">
        <v>4.3669252395629803</v>
      </c>
      <c r="F1530" s="1">
        <f>Tabla1[[#This Row],[tiempo]]/(IF(Tabla1[[#This Row],[tamanho]]=$I$3,$L$3,IF(Tabla1[[#This Row],[tamanho]]=$I$4,$L$4,IF(Tabla1[[#This Row],[tamanho]]=$I$5,$L$5,IF(Tabla1[[#This Row],[tamanho]]=$I$6,$L$6,0))))*IF(C1530="8_1",9,25))</f>
        <v>4.2268781976784009E-7</v>
      </c>
    </row>
    <row r="1531" spans="1:6" ht="12.75" x14ac:dyDescent="0.2">
      <c r="A1531" s="1">
        <v>63</v>
      </c>
      <c r="B1531" s="1">
        <v>3</v>
      </c>
      <c r="C1531" s="1" t="s">
        <v>8</v>
      </c>
      <c r="D1531" s="1" t="s">
        <v>9</v>
      </c>
      <c r="E1531" s="1">
        <v>4.4055504798889098</v>
      </c>
      <c r="F1531" s="1">
        <f>Tabla1[[#This Row],[tiempo]]/(IF(Tabla1[[#This Row],[tamanho]]=$I$3,$L$3,IF(Tabla1[[#This Row],[tamanho]]=$I$4,$L$4,IF(Tabla1[[#This Row],[tamanho]]=$I$5,$L$5,IF(Tabla1[[#This Row],[tamanho]]=$I$6,$L$6,0))))*IF(C1531="8_1",9,25))</f>
        <v>4.2642647287631641E-7</v>
      </c>
    </row>
    <row r="1532" spans="1:6" ht="12.75" x14ac:dyDescent="0.2">
      <c r="A1532" s="1">
        <v>63</v>
      </c>
      <c r="B1532" s="1">
        <v>4</v>
      </c>
      <c r="C1532" s="1" t="s">
        <v>5</v>
      </c>
      <c r="D1532" s="1" t="s">
        <v>6</v>
      </c>
      <c r="E1532" s="1">
        <v>6.9966824054718</v>
      </c>
      <c r="F1532" s="1">
        <f>Tabla1[[#This Row],[tiempo]]/(IF(Tabla1[[#This Row],[tamanho]]=$I$3,$L$3,IF(Tabla1[[#This Row],[tamanho]]=$I$4,$L$4,IF(Tabla1[[#This Row],[tamanho]]=$I$5,$L$5,IF(Tabla1[[#This Row],[tamanho]]=$I$6,$L$6,0))))*IF(C1532="8_1",9,25))</f>
        <v>1.0565452385537071E-6</v>
      </c>
    </row>
    <row r="1533" spans="1:6" ht="12.75" x14ac:dyDescent="0.2">
      <c r="A1533" s="1">
        <v>63</v>
      </c>
      <c r="B1533" s="1">
        <v>4</v>
      </c>
      <c r="C1533" s="1" t="s">
        <v>7</v>
      </c>
      <c r="D1533" s="1" t="s">
        <v>6</v>
      </c>
      <c r="E1533" s="1">
        <v>7.8744404315948398</v>
      </c>
      <c r="F1533" s="1">
        <f>Tabla1[[#This Row],[tiempo]]/(IF(Tabla1[[#This Row],[tamanho]]=$I$3,$L$3,IF(Tabla1[[#This Row],[tamanho]]=$I$4,$L$4,IF(Tabla1[[#This Row],[tamanho]]=$I$5,$L$5,IF(Tabla1[[#This Row],[tamanho]]=$I$6,$L$6,0))))*IF(C1533="8_1",9,25))</f>
        <v>4.2807329851032628E-7</v>
      </c>
    </row>
    <row r="1534" spans="1:6" ht="12.75" x14ac:dyDescent="0.2">
      <c r="A1534" s="1">
        <v>63</v>
      </c>
      <c r="B1534" s="1">
        <v>4</v>
      </c>
      <c r="C1534" s="1" t="s">
        <v>8</v>
      </c>
      <c r="D1534" s="1" t="s">
        <v>6</v>
      </c>
      <c r="E1534" s="1">
        <v>7.9519953727722097</v>
      </c>
      <c r="F1534" s="1">
        <f>Tabla1[[#This Row],[tiempo]]/(IF(Tabla1[[#This Row],[tamanho]]=$I$3,$L$3,IF(Tabla1[[#This Row],[tamanho]]=$I$4,$L$4,IF(Tabla1[[#This Row],[tamanho]]=$I$5,$L$5,IF(Tabla1[[#This Row],[tamanho]]=$I$6,$L$6,0))))*IF(C1534="8_1",9,25))</f>
        <v>4.3228936945199785E-7</v>
      </c>
    </row>
    <row r="1535" spans="1:6" ht="12.75" x14ac:dyDescent="0.2">
      <c r="A1535" s="1">
        <v>63</v>
      </c>
      <c r="B1535" s="1">
        <v>4</v>
      </c>
      <c r="C1535" s="1" t="s">
        <v>5</v>
      </c>
      <c r="D1535" s="1" t="s">
        <v>9</v>
      </c>
      <c r="E1535" s="1">
        <v>6.9899346828460596</v>
      </c>
      <c r="F1535" s="1">
        <f>Tabla1[[#This Row],[tiempo]]/(IF(Tabla1[[#This Row],[tamanho]]=$I$3,$L$3,IF(Tabla1[[#This Row],[tamanho]]=$I$4,$L$4,IF(Tabla1[[#This Row],[tamanho]]=$I$5,$L$5,IF(Tabla1[[#This Row],[tamanho]]=$I$6,$L$6,0))))*IF(C1535="8_1",9,25))</f>
        <v>1.0555262878856401E-6</v>
      </c>
    </row>
    <row r="1536" spans="1:6" ht="12.75" x14ac:dyDescent="0.2">
      <c r="A1536" s="1">
        <v>63</v>
      </c>
      <c r="B1536" s="1">
        <v>4</v>
      </c>
      <c r="C1536" s="1" t="s">
        <v>7</v>
      </c>
      <c r="D1536" s="1" t="s">
        <v>9</v>
      </c>
      <c r="E1536" s="1">
        <v>7.9058036804199201</v>
      </c>
      <c r="F1536" s="1">
        <f>Tabla1[[#This Row],[tiempo]]/(IF(Tabla1[[#This Row],[tamanho]]=$I$3,$L$3,IF(Tabla1[[#This Row],[tamanho]]=$I$4,$L$4,IF(Tabla1[[#This Row],[tamanho]]=$I$5,$L$5,IF(Tabla1[[#This Row],[tamanho]]=$I$6,$L$6,0))))*IF(C1536="8_1",9,25))</f>
        <v>4.2977827926333109E-7</v>
      </c>
    </row>
    <row r="1537" spans="1:6" ht="12.75" x14ac:dyDescent="0.2">
      <c r="A1537" s="1">
        <v>63</v>
      </c>
      <c r="B1537" s="1">
        <v>4</v>
      </c>
      <c r="C1537" s="1" t="s">
        <v>8</v>
      </c>
      <c r="D1537" s="1" t="s">
        <v>9</v>
      </c>
      <c r="E1537" s="1">
        <v>7.99953269958496</v>
      </c>
      <c r="F1537" s="1">
        <f>Tabla1[[#This Row],[tiempo]]/(IF(Tabla1[[#This Row],[tamanho]]=$I$3,$L$3,IF(Tabla1[[#This Row],[tamanho]]=$I$4,$L$4,IF(Tabla1[[#This Row],[tamanho]]=$I$5,$L$5,IF(Tabla1[[#This Row],[tamanho]]=$I$6,$L$6,0))))*IF(C1537="8_1",9,25))</f>
        <v>4.3487361152835528E-7</v>
      </c>
    </row>
    <row r="1538" spans="1:6" ht="12.75" x14ac:dyDescent="0.2">
      <c r="A1538" s="1">
        <v>64</v>
      </c>
      <c r="B1538" s="1">
        <v>1</v>
      </c>
      <c r="C1538" s="1" t="s">
        <v>5</v>
      </c>
      <c r="D1538" s="1" t="s">
        <v>6</v>
      </c>
      <c r="E1538" s="1">
        <v>0.41839098930358798</v>
      </c>
      <c r="F1538" s="1">
        <f>Tabla1[[#This Row],[tiempo]]/(IF(Tabla1[[#This Row],[tamanho]]=$I$3,$L$3,IF(Tabla1[[#This Row],[tamanho]]=$I$4,$L$4,IF(Tabla1[[#This Row],[tamanho]]=$I$5,$L$5,IF(Tabla1[[#This Row],[tamanho]]=$I$6,$L$6,0))))*IF(C1538="8_1",9,25))</f>
        <v>1.7242642224100984E-6</v>
      </c>
    </row>
    <row r="1539" spans="1:6" ht="12.75" x14ac:dyDescent="0.2">
      <c r="A1539" s="1">
        <v>64</v>
      </c>
      <c r="B1539" s="1">
        <v>1</v>
      </c>
      <c r="C1539" s="1" t="s">
        <v>7</v>
      </c>
      <c r="D1539" s="1" t="s">
        <v>6</v>
      </c>
      <c r="E1539" s="1">
        <v>0.46387600898742598</v>
      </c>
      <c r="F1539" s="1">
        <f>Tabla1[[#This Row],[tiempo]]/(IF(Tabla1[[#This Row],[tamanho]]=$I$3,$L$3,IF(Tabla1[[#This Row],[tamanho]]=$I$4,$L$4,IF(Tabla1[[#This Row],[tamanho]]=$I$5,$L$5,IF(Tabla1[[#This Row],[tamanho]]=$I$6,$L$6,0))))*IF(C1539="8_1",9,25))</f>
        <v>6.882178094097785E-7</v>
      </c>
    </row>
    <row r="1540" spans="1:6" ht="12.75" x14ac:dyDescent="0.2">
      <c r="A1540" s="1">
        <v>64</v>
      </c>
      <c r="B1540" s="1">
        <v>1</v>
      </c>
      <c r="C1540" s="1" t="s">
        <v>8</v>
      </c>
      <c r="D1540" s="1" t="s">
        <v>6</v>
      </c>
      <c r="E1540" s="1">
        <v>0.46747827529907199</v>
      </c>
      <c r="F1540" s="1">
        <f>Tabla1[[#This Row],[tiempo]]/(IF(Tabla1[[#This Row],[tamanho]]=$I$3,$L$3,IF(Tabla1[[#This Row],[tamanho]]=$I$4,$L$4,IF(Tabla1[[#This Row],[tamanho]]=$I$5,$L$5,IF(Tabla1[[#This Row],[tamanho]]=$I$6,$L$6,0))))*IF(C1540="8_1",9,25))</f>
        <v>6.9356221994595451E-7</v>
      </c>
    </row>
    <row r="1541" spans="1:6" ht="12.75" x14ac:dyDescent="0.2">
      <c r="A1541" s="1">
        <v>64</v>
      </c>
      <c r="B1541" s="1">
        <v>1</v>
      </c>
      <c r="C1541" s="1" t="s">
        <v>5</v>
      </c>
      <c r="D1541" s="1" t="s">
        <v>9</v>
      </c>
      <c r="E1541" s="1">
        <v>0.41880178451538003</v>
      </c>
      <c r="F1541" s="1">
        <f>Tabla1[[#This Row],[tiempo]]/(IF(Tabla1[[#This Row],[tamanho]]=$I$3,$L$3,IF(Tabla1[[#This Row],[tamanho]]=$I$4,$L$4,IF(Tabla1[[#This Row],[tamanho]]=$I$5,$L$5,IF(Tabla1[[#This Row],[tamanho]]=$I$6,$L$6,0))))*IF(C1541="8_1",9,25))</f>
        <v>1.7259571830725864E-6</v>
      </c>
    </row>
    <row r="1542" spans="1:6" ht="12.75" x14ac:dyDescent="0.2">
      <c r="A1542" s="1">
        <v>64</v>
      </c>
      <c r="B1542" s="1">
        <v>1</v>
      </c>
      <c r="C1542" s="1" t="s">
        <v>7</v>
      </c>
      <c r="D1542" s="1" t="s">
        <v>9</v>
      </c>
      <c r="E1542" s="1">
        <v>0.46409392356872498</v>
      </c>
      <c r="F1542" s="1">
        <f>Tabla1[[#This Row],[tiempo]]/(IF(Tabla1[[#This Row],[tamanho]]=$I$3,$L$3,IF(Tabla1[[#This Row],[tamanho]]=$I$4,$L$4,IF(Tabla1[[#This Row],[tamanho]]=$I$5,$L$5,IF(Tabla1[[#This Row],[tamanho]]=$I$6,$L$6,0))))*IF(C1542="8_1",9,25))</f>
        <v>6.8854111282033299E-7</v>
      </c>
    </row>
    <row r="1543" spans="1:6" ht="12.75" x14ac:dyDescent="0.2">
      <c r="A1543" s="1">
        <v>64</v>
      </c>
      <c r="B1543" s="1">
        <v>1</v>
      </c>
      <c r="C1543" s="1" t="s">
        <v>8</v>
      </c>
      <c r="D1543" s="1" t="s">
        <v>9</v>
      </c>
      <c r="E1543" s="1">
        <v>0.470596313476562</v>
      </c>
      <c r="F1543" s="1">
        <f>Tabla1[[#This Row],[tiempo]]/(IF(Tabla1[[#This Row],[tamanho]]=$I$3,$L$3,IF(Tabla1[[#This Row],[tamanho]]=$I$4,$L$4,IF(Tabla1[[#This Row],[tamanho]]=$I$5,$L$5,IF(Tabla1[[#This Row],[tamanho]]=$I$6,$L$6,0))))*IF(C1543="8_1",9,25))</f>
        <v>6.981882177613026E-7</v>
      </c>
    </row>
    <row r="1544" spans="1:6" ht="12.75" x14ac:dyDescent="0.2">
      <c r="A1544" s="1">
        <v>64</v>
      </c>
      <c r="B1544" s="1">
        <v>2</v>
      </c>
      <c r="C1544" s="1" t="s">
        <v>5</v>
      </c>
      <c r="D1544" s="1" t="s">
        <v>6</v>
      </c>
      <c r="E1544" s="1">
        <v>1.70000004768371</v>
      </c>
      <c r="F1544" s="1">
        <f>Tabla1[[#This Row],[tiempo]]/(IF(Tabla1[[#This Row],[tamanho]]=$I$3,$L$3,IF(Tabla1[[#This Row],[tamanho]]=$I$4,$L$4,IF(Tabla1[[#This Row],[tamanho]]=$I$5,$L$5,IF(Tabla1[[#This Row],[tamanho]]=$I$6,$L$6,0))))*IF(C1544="8_1",9,25))</f>
        <v>1.029243873688598E-6</v>
      </c>
    </row>
    <row r="1545" spans="1:6" ht="12.75" x14ac:dyDescent="0.2">
      <c r="A1545" s="1">
        <v>64</v>
      </c>
      <c r="B1545" s="1">
        <v>2</v>
      </c>
      <c r="C1545" s="1" t="s">
        <v>7</v>
      </c>
      <c r="D1545" s="1" t="s">
        <v>6</v>
      </c>
      <c r="E1545" s="1">
        <v>1.9195761680603001</v>
      </c>
      <c r="F1545" s="1">
        <f>Tabla1[[#This Row],[tiempo]]/(IF(Tabla1[[#This Row],[tamanho]]=$I$3,$L$3,IF(Tabla1[[#This Row],[tamanho]]=$I$4,$L$4,IF(Tabla1[[#This Row],[tamanho]]=$I$5,$L$5,IF(Tabla1[[#This Row],[tamanho]]=$I$6,$L$6,0))))*IF(C1545="8_1",9,25))</f>
        <v>4.1838606119381875E-7</v>
      </c>
    </row>
    <row r="1546" spans="1:6" ht="12.75" x14ac:dyDescent="0.2">
      <c r="A1546" s="1">
        <v>64</v>
      </c>
      <c r="B1546" s="1">
        <v>2</v>
      </c>
      <c r="C1546" s="1" t="s">
        <v>8</v>
      </c>
      <c r="D1546" s="1" t="s">
        <v>6</v>
      </c>
      <c r="E1546" s="1">
        <v>1.9517512321472099</v>
      </c>
      <c r="F1546" s="1">
        <f>Tabla1[[#This Row],[tiempo]]/(IF(Tabla1[[#This Row],[tamanho]]=$I$3,$L$3,IF(Tabla1[[#This Row],[tamanho]]=$I$4,$L$4,IF(Tabla1[[#This Row],[tamanho]]=$I$5,$L$5,IF(Tabla1[[#This Row],[tamanho]]=$I$6,$L$6,0))))*IF(C1546="8_1",9,25))</f>
        <v>4.2539885837059531E-7</v>
      </c>
    </row>
    <row r="1547" spans="1:6" ht="12.75" x14ac:dyDescent="0.2">
      <c r="A1547" s="1">
        <v>64</v>
      </c>
      <c r="B1547" s="1">
        <v>2</v>
      </c>
      <c r="C1547" s="1" t="s">
        <v>5</v>
      </c>
      <c r="D1547" s="1" t="s">
        <v>9</v>
      </c>
      <c r="E1547" s="1">
        <v>1.73876976966857</v>
      </c>
      <c r="F1547" s="1">
        <f>Tabla1[[#This Row],[tiempo]]/(IF(Tabla1[[#This Row],[tamanho]]=$I$3,$L$3,IF(Tabla1[[#This Row],[tamanho]]=$I$4,$L$4,IF(Tabla1[[#This Row],[tamanho]]=$I$5,$L$5,IF(Tabla1[[#This Row],[tamanho]]=$I$6,$L$6,0))))*IF(C1547="8_1",9,25))</f>
        <v>1.0527165194052242E-6</v>
      </c>
    </row>
    <row r="1548" spans="1:6" ht="12.75" x14ac:dyDescent="0.2">
      <c r="A1548" s="1">
        <v>64</v>
      </c>
      <c r="B1548" s="1">
        <v>2</v>
      </c>
      <c r="C1548" s="1" t="s">
        <v>7</v>
      </c>
      <c r="D1548" s="1" t="s">
        <v>9</v>
      </c>
      <c r="E1548" s="1">
        <v>1.92093706130981</v>
      </c>
      <c r="F1548" s="1">
        <f>Tabla1[[#This Row],[tiempo]]/(IF(Tabla1[[#This Row],[tamanho]]=$I$3,$L$3,IF(Tabla1[[#This Row],[tamanho]]=$I$4,$L$4,IF(Tabla1[[#This Row],[tamanho]]=$I$5,$L$5,IF(Tabla1[[#This Row],[tamanho]]=$I$6,$L$6,0))))*IF(C1548="8_1",9,25))</f>
        <v>4.1868267811157464E-7</v>
      </c>
    </row>
    <row r="1549" spans="1:6" ht="12.75" x14ac:dyDescent="0.2">
      <c r="A1549" s="1">
        <v>64</v>
      </c>
      <c r="B1549" s="1">
        <v>2</v>
      </c>
      <c r="C1549" s="1" t="s">
        <v>8</v>
      </c>
      <c r="D1549" s="1" t="s">
        <v>9</v>
      </c>
      <c r="E1549" s="1">
        <v>1.9509131908416699</v>
      </c>
      <c r="F1549" s="1">
        <f>Tabla1[[#This Row],[tiempo]]/(IF(Tabla1[[#This Row],[tamanho]]=$I$3,$L$3,IF(Tabla1[[#This Row],[tamanho]]=$I$4,$L$4,IF(Tabla1[[#This Row],[tamanho]]=$I$5,$L$5,IF(Tabla1[[#This Row],[tamanho]]=$I$6,$L$6,0))))*IF(C1549="8_1",9,25))</f>
        <v>4.2521620096591579E-7</v>
      </c>
    </row>
    <row r="1550" spans="1:6" ht="12.75" x14ac:dyDescent="0.2">
      <c r="A1550" s="1">
        <v>64</v>
      </c>
      <c r="B1550" s="1">
        <v>3</v>
      </c>
      <c r="C1550" s="1" t="s">
        <v>5</v>
      </c>
      <c r="D1550" s="1" t="s">
        <v>6</v>
      </c>
      <c r="E1550" s="1">
        <v>3.89641880989074</v>
      </c>
      <c r="F1550" s="1">
        <f>Tabla1[[#This Row],[tiempo]]/(IF(Tabla1[[#This Row],[tamanho]]=$I$3,$L$3,IF(Tabla1[[#This Row],[tamanho]]=$I$4,$L$4,IF(Tabla1[[#This Row],[tamanho]]=$I$5,$L$5,IF(Tabla1[[#This Row],[tamanho]]=$I$6,$L$6,0))))*IF(C1550="8_1",9,25))</f>
        <v>1.0476280228363577E-6</v>
      </c>
    </row>
    <row r="1551" spans="1:6" ht="12.75" x14ac:dyDescent="0.2">
      <c r="A1551" s="1">
        <v>64</v>
      </c>
      <c r="B1551" s="1">
        <v>3</v>
      </c>
      <c r="C1551" s="1" t="s">
        <v>7</v>
      </c>
      <c r="D1551" s="1" t="s">
        <v>6</v>
      </c>
      <c r="E1551" s="1">
        <v>4.37214875221252</v>
      </c>
      <c r="F1551" s="1">
        <f>Tabla1[[#This Row],[tiempo]]/(IF(Tabla1[[#This Row],[tamanho]]=$I$3,$L$3,IF(Tabla1[[#This Row],[tamanho]]=$I$4,$L$4,IF(Tabla1[[#This Row],[tamanho]]=$I$5,$L$5,IF(Tabla1[[#This Row],[tamanho]]=$I$6,$L$6,0))))*IF(C1551="8_1",9,25))</f>
        <v>4.2319341925769636E-7</v>
      </c>
    </row>
    <row r="1552" spans="1:6" ht="12.75" x14ac:dyDescent="0.2">
      <c r="A1552" s="1">
        <v>64</v>
      </c>
      <c r="B1552" s="1">
        <v>3</v>
      </c>
      <c r="C1552" s="1" t="s">
        <v>8</v>
      </c>
      <c r="D1552" s="1" t="s">
        <v>6</v>
      </c>
      <c r="E1552" s="1">
        <v>4.3884124755859304</v>
      </c>
      <c r="F1552" s="1">
        <f>Tabla1[[#This Row],[tiempo]]/(IF(Tabla1[[#This Row],[tamanho]]=$I$3,$L$3,IF(Tabla1[[#This Row],[tamanho]]=$I$4,$L$4,IF(Tabla1[[#This Row],[tamanho]]=$I$5,$L$5,IF(Tabla1[[#This Row],[tamanho]]=$I$6,$L$6,0))))*IF(C1552="8_1",9,25))</f>
        <v>4.2476763392749044E-7</v>
      </c>
    </row>
    <row r="1553" spans="1:6" ht="12.75" x14ac:dyDescent="0.2">
      <c r="A1553" s="1">
        <v>64</v>
      </c>
      <c r="B1553" s="1">
        <v>3</v>
      </c>
      <c r="C1553" s="1" t="s">
        <v>5</v>
      </c>
      <c r="D1553" s="1" t="s">
        <v>9</v>
      </c>
      <c r="E1553" s="1">
        <v>3.9259860515594398</v>
      </c>
      <c r="F1553" s="1">
        <f>Tabla1[[#This Row],[tiempo]]/(IF(Tabla1[[#This Row],[tamanho]]=$I$3,$L$3,IF(Tabla1[[#This Row],[tamanho]]=$I$4,$L$4,IF(Tabla1[[#This Row],[tamanho]]=$I$5,$L$5,IF(Tabla1[[#This Row],[tamanho]]=$I$6,$L$6,0))))*IF(C1553="8_1",9,25))</f>
        <v>1.0555777511487957E-6</v>
      </c>
    </row>
    <row r="1554" spans="1:6" ht="12.75" x14ac:dyDescent="0.2">
      <c r="A1554" s="1">
        <v>64</v>
      </c>
      <c r="B1554" s="1">
        <v>3</v>
      </c>
      <c r="C1554" s="1" t="s">
        <v>7</v>
      </c>
      <c r="D1554" s="1" t="s">
        <v>9</v>
      </c>
      <c r="E1554" s="1">
        <v>4.4371924400329501</v>
      </c>
      <c r="F1554" s="1">
        <f>Tabla1[[#This Row],[tiempo]]/(IF(Tabla1[[#This Row],[tamanho]]=$I$3,$L$3,IF(Tabla1[[#This Row],[tamanho]]=$I$4,$L$4,IF(Tabla1[[#This Row],[tamanho]]=$I$5,$L$5,IF(Tabla1[[#This Row],[tamanho]]=$I$6,$L$6,0))))*IF(C1554="8_1",9,25))</f>
        <v>4.2948919330608129E-7</v>
      </c>
    </row>
    <row r="1555" spans="1:6" ht="12.75" x14ac:dyDescent="0.2">
      <c r="A1555" s="1">
        <v>64</v>
      </c>
      <c r="B1555" s="1">
        <v>3</v>
      </c>
      <c r="C1555" s="1" t="s">
        <v>8</v>
      </c>
      <c r="D1555" s="1" t="s">
        <v>9</v>
      </c>
      <c r="E1555" s="1">
        <v>4.4446432590484601</v>
      </c>
      <c r="F1555" s="1">
        <f>Tabla1[[#This Row],[tiempo]]/(IF(Tabla1[[#This Row],[tamanho]]=$I$3,$L$3,IF(Tabla1[[#This Row],[tamanho]]=$I$4,$L$4,IF(Tabla1[[#This Row],[tamanho]]=$I$5,$L$5,IF(Tabla1[[#This Row],[tamanho]]=$I$6,$L$6,0))))*IF(C1555="8_1",9,25))</f>
        <v>4.3021038047379793E-7</v>
      </c>
    </row>
    <row r="1556" spans="1:6" ht="12.75" x14ac:dyDescent="0.2">
      <c r="A1556" s="1">
        <v>64</v>
      </c>
      <c r="B1556" s="1">
        <v>4</v>
      </c>
      <c r="C1556" s="1" t="s">
        <v>5</v>
      </c>
      <c r="D1556" s="1" t="s">
        <v>6</v>
      </c>
      <c r="E1556" s="1">
        <v>6.9815299510955802</v>
      </c>
      <c r="F1556" s="1">
        <f>Tabla1[[#This Row],[tiempo]]/(IF(Tabla1[[#This Row],[tamanho]]=$I$3,$L$3,IF(Tabla1[[#This Row],[tamanho]]=$I$4,$L$4,IF(Tabla1[[#This Row],[tamanho]]=$I$5,$L$5,IF(Tabla1[[#This Row],[tamanho]]=$I$6,$L$6,0))))*IF(C1556="8_1",9,25))</f>
        <v>1.0542571178993984E-6</v>
      </c>
    </row>
    <row r="1557" spans="1:6" ht="12.75" x14ac:dyDescent="0.2">
      <c r="A1557" s="1">
        <v>64</v>
      </c>
      <c r="B1557" s="1">
        <v>4</v>
      </c>
      <c r="C1557" s="1" t="s">
        <v>7</v>
      </c>
      <c r="D1557" s="1" t="s">
        <v>6</v>
      </c>
      <c r="E1557" s="1">
        <v>7.7563104629516602</v>
      </c>
      <c r="F1557" s="1">
        <f>Tabla1[[#This Row],[tiempo]]/(IF(Tabla1[[#This Row],[tamanho]]=$I$3,$L$3,IF(Tabla1[[#This Row],[tamanho]]=$I$4,$L$4,IF(Tabla1[[#This Row],[tamanho]]=$I$5,$L$5,IF(Tabla1[[#This Row],[tamanho]]=$I$6,$L$6,0))))*IF(C1557="8_1",9,25))</f>
        <v>4.2165147263339018E-7</v>
      </c>
    </row>
    <row r="1558" spans="1:6" ht="12.75" x14ac:dyDescent="0.2">
      <c r="A1558" s="1">
        <v>64</v>
      </c>
      <c r="B1558" s="1">
        <v>4</v>
      </c>
      <c r="C1558" s="1" t="s">
        <v>8</v>
      </c>
      <c r="D1558" s="1" t="s">
        <v>6</v>
      </c>
      <c r="E1558" s="1">
        <v>7.8199670314788801</v>
      </c>
      <c r="F1558" s="1">
        <f>Tabla1[[#This Row],[tiempo]]/(IF(Tabla1[[#This Row],[tamanho]]=$I$3,$L$3,IF(Tabla1[[#This Row],[tamanho]]=$I$4,$L$4,IF(Tabla1[[#This Row],[tamanho]]=$I$5,$L$5,IF(Tabla1[[#This Row],[tamanho]]=$I$6,$L$6,0))))*IF(C1558="8_1",9,25))</f>
        <v>4.2511199500294943E-7</v>
      </c>
    </row>
    <row r="1559" spans="1:6" ht="12.75" x14ac:dyDescent="0.2">
      <c r="A1559" s="1">
        <v>64</v>
      </c>
      <c r="B1559" s="1">
        <v>4</v>
      </c>
      <c r="C1559" s="1" t="s">
        <v>5</v>
      </c>
      <c r="D1559" s="1" t="s">
        <v>9</v>
      </c>
      <c r="E1559" s="1">
        <v>7.0116808414459202</v>
      </c>
      <c r="F1559" s="1">
        <f>Tabla1[[#This Row],[tiempo]]/(IF(Tabla1[[#This Row],[tamanho]]=$I$3,$L$3,IF(Tabla1[[#This Row],[tamanho]]=$I$4,$L$4,IF(Tabla1[[#This Row],[tamanho]]=$I$5,$L$5,IF(Tabla1[[#This Row],[tamanho]]=$I$6,$L$6,0))))*IF(C1559="8_1",9,25))</f>
        <v>1.0588101014123979E-6</v>
      </c>
    </row>
    <row r="1560" spans="1:6" ht="12.75" x14ac:dyDescent="0.2">
      <c r="A1560" s="1">
        <v>64</v>
      </c>
      <c r="B1560" s="1">
        <v>4</v>
      </c>
      <c r="C1560" s="1" t="s">
        <v>7</v>
      </c>
      <c r="D1560" s="1" t="s">
        <v>9</v>
      </c>
      <c r="E1560" s="1">
        <v>7.9446117877960196</v>
      </c>
      <c r="F1560" s="1">
        <f>Tabla1[[#This Row],[tiempo]]/(IF(Tabla1[[#This Row],[tamanho]]=$I$3,$L$3,IF(Tabla1[[#This Row],[tamanho]]=$I$4,$L$4,IF(Tabla1[[#This Row],[tamanho]]=$I$5,$L$5,IF(Tabla1[[#This Row],[tamanho]]=$I$6,$L$6,0))))*IF(C1560="8_1",9,25))</f>
        <v>4.3188798022275089E-7</v>
      </c>
    </row>
    <row r="1561" spans="1:6" ht="12.75" x14ac:dyDescent="0.2">
      <c r="A1561" s="1">
        <v>64</v>
      </c>
      <c r="B1561" s="1">
        <v>4</v>
      </c>
      <c r="C1561" s="1" t="s">
        <v>8</v>
      </c>
      <c r="D1561" s="1" t="s">
        <v>9</v>
      </c>
      <c r="E1561" s="1">
        <v>7.9522824287414497</v>
      </c>
      <c r="F1561" s="1">
        <f>Tabla1[[#This Row],[tiempo]]/(IF(Tabla1[[#This Row],[tamanho]]=$I$3,$L$3,IF(Tabla1[[#This Row],[tamanho]]=$I$4,$L$4,IF(Tabla1[[#This Row],[tamanho]]=$I$5,$L$5,IF(Tabla1[[#This Row],[tamanho]]=$I$6,$L$6,0))))*IF(C1561="8_1",9,25))</f>
        <v>4.3230497449678511E-7</v>
      </c>
    </row>
    <row r="1562" spans="1:6" ht="12.75" x14ac:dyDescent="0.2">
      <c r="A1562" s="1">
        <v>65</v>
      </c>
      <c r="B1562" s="1">
        <v>1</v>
      </c>
      <c r="C1562" s="1" t="s">
        <v>5</v>
      </c>
      <c r="D1562" s="1" t="s">
        <v>6</v>
      </c>
      <c r="E1562" s="1">
        <v>0.42452573776245101</v>
      </c>
      <c r="F1562" s="1">
        <f>Tabla1[[#This Row],[tiempo]]/(IF(Tabla1[[#This Row],[tamanho]]=$I$3,$L$3,IF(Tabla1[[#This Row],[tamanho]]=$I$4,$L$4,IF(Tabla1[[#This Row],[tamanho]]=$I$5,$L$5,IF(Tabla1[[#This Row],[tamanho]]=$I$6,$L$6,0))))*IF(C1562="8_1",9,25))</f>
        <v>1.7495466198601725E-6</v>
      </c>
    </row>
    <row r="1563" spans="1:6" ht="12.75" x14ac:dyDescent="0.2">
      <c r="A1563" s="1">
        <v>65</v>
      </c>
      <c r="B1563" s="1">
        <v>1</v>
      </c>
      <c r="C1563" s="1" t="s">
        <v>7</v>
      </c>
      <c r="D1563" s="1" t="s">
        <v>6</v>
      </c>
      <c r="E1563" s="1">
        <v>0.46499991416931102</v>
      </c>
      <c r="F1563" s="1">
        <f>Tabla1[[#This Row],[tiempo]]/(IF(Tabla1[[#This Row],[tamanho]]=$I$3,$L$3,IF(Tabla1[[#This Row],[tamanho]]=$I$4,$L$4,IF(Tabla1[[#This Row],[tamanho]]=$I$5,$L$5,IF(Tabla1[[#This Row],[tamanho]]=$I$6,$L$6,0))))*IF(C1563="8_1",9,25))</f>
        <v>6.8988526266727642E-7</v>
      </c>
    </row>
    <row r="1564" spans="1:6" ht="12.75" x14ac:dyDescent="0.2">
      <c r="A1564" s="1">
        <v>65</v>
      </c>
      <c r="B1564" s="1">
        <v>1</v>
      </c>
      <c r="C1564" s="1" t="s">
        <v>8</v>
      </c>
      <c r="D1564" s="1" t="s">
        <v>6</v>
      </c>
      <c r="E1564" s="1">
        <v>0.47037339210510198</v>
      </c>
      <c r="F1564" s="1">
        <f>Tabla1[[#This Row],[tiempo]]/(IF(Tabla1[[#This Row],[tamanho]]=$I$3,$L$3,IF(Tabla1[[#This Row],[tamanho]]=$I$4,$L$4,IF(Tabla1[[#This Row],[tamanho]]=$I$5,$L$5,IF(Tabla1[[#This Row],[tamanho]]=$I$6,$L$6,0))))*IF(C1564="8_1",9,25))</f>
        <v>6.9785748615422571E-7</v>
      </c>
    </row>
    <row r="1565" spans="1:6" ht="12.75" x14ac:dyDescent="0.2">
      <c r="A1565" s="1">
        <v>65</v>
      </c>
      <c r="B1565" s="1">
        <v>1</v>
      </c>
      <c r="C1565" s="1" t="s">
        <v>5</v>
      </c>
      <c r="D1565" s="1" t="s">
        <v>9</v>
      </c>
      <c r="E1565" s="1">
        <v>0.41960096359252902</v>
      </c>
      <c r="F1565" s="1">
        <f>Tabla1[[#This Row],[tiempo]]/(IF(Tabla1[[#This Row],[tamanho]]=$I$3,$L$3,IF(Tabla1[[#This Row],[tamanho]]=$I$4,$L$4,IF(Tabla1[[#This Row],[tamanho]]=$I$5,$L$5,IF(Tabla1[[#This Row],[tamanho]]=$I$6,$L$6,0))))*IF(C1565="8_1",9,25))</f>
        <v>1.7292507432238709E-6</v>
      </c>
    </row>
    <row r="1566" spans="1:6" ht="12.75" x14ac:dyDescent="0.2">
      <c r="A1566" s="1">
        <v>65</v>
      </c>
      <c r="B1566" s="1">
        <v>1</v>
      </c>
      <c r="C1566" s="1" t="s">
        <v>7</v>
      </c>
      <c r="D1566" s="1" t="s">
        <v>9</v>
      </c>
      <c r="E1566" s="1">
        <v>0.468185424804687</v>
      </c>
      <c r="F1566" s="1">
        <f>Tabla1[[#This Row],[tiempo]]/(IF(Tabla1[[#This Row],[tamanho]]=$I$3,$L$3,IF(Tabla1[[#This Row],[tamanho]]=$I$4,$L$4,IF(Tabla1[[#This Row],[tamanho]]=$I$5,$L$5,IF(Tabla1[[#This Row],[tamanho]]=$I$6,$L$6,0))))*IF(C1566="8_1",9,25))</f>
        <v>6.9461136427385784E-7</v>
      </c>
    </row>
    <row r="1567" spans="1:6" ht="12.75" x14ac:dyDescent="0.2">
      <c r="A1567" s="1">
        <v>65</v>
      </c>
      <c r="B1567" s="1">
        <v>1</v>
      </c>
      <c r="C1567" s="1" t="s">
        <v>8</v>
      </c>
      <c r="D1567" s="1" t="s">
        <v>9</v>
      </c>
      <c r="E1567" s="1">
        <v>0.48025107383728</v>
      </c>
      <c r="F1567" s="1">
        <f>Tabla1[[#This Row],[tiempo]]/(IF(Tabla1[[#This Row],[tamanho]]=$I$3,$L$3,IF(Tabla1[[#This Row],[tamanho]]=$I$4,$L$4,IF(Tabla1[[#This Row],[tamanho]]=$I$5,$L$5,IF(Tabla1[[#This Row],[tamanho]]=$I$6,$L$6,0))))*IF(C1567="8_1",9,25))</f>
        <v>7.125122567223471E-7</v>
      </c>
    </row>
    <row r="1568" spans="1:6" ht="12.75" x14ac:dyDescent="0.2">
      <c r="A1568" s="1">
        <v>65</v>
      </c>
      <c r="B1568" s="1">
        <v>2</v>
      </c>
      <c r="C1568" s="1" t="s">
        <v>5</v>
      </c>
      <c r="D1568" s="1" t="s">
        <v>6</v>
      </c>
      <c r="E1568" s="1">
        <v>1.74934983253479</v>
      </c>
      <c r="F1568" s="1">
        <f>Tabla1[[#This Row],[tiempo]]/(IF(Tabla1[[#This Row],[tamanho]]=$I$3,$L$3,IF(Tabla1[[#This Row],[tamanho]]=$I$4,$L$4,IF(Tabla1[[#This Row],[tamanho]]=$I$5,$L$5,IF(Tabla1[[#This Row],[tamanho]]=$I$6,$L$6,0))))*IF(C1568="8_1",9,25))</f>
        <v>1.0591220868069041E-6</v>
      </c>
    </row>
    <row r="1569" spans="1:6" ht="12.75" x14ac:dyDescent="0.2">
      <c r="A1569" s="1">
        <v>65</v>
      </c>
      <c r="B1569" s="1">
        <v>2</v>
      </c>
      <c r="C1569" s="1" t="s">
        <v>7</v>
      </c>
      <c r="D1569" s="1" t="s">
        <v>6</v>
      </c>
      <c r="E1569" s="1">
        <v>1.93125915527343</v>
      </c>
      <c r="F1569" s="1">
        <f>Tabla1[[#This Row],[tiempo]]/(IF(Tabla1[[#This Row],[tamanho]]=$I$3,$L$3,IF(Tabla1[[#This Row],[tamanho]]=$I$4,$L$4,IF(Tabla1[[#This Row],[tamanho]]=$I$5,$L$5,IF(Tabla1[[#This Row],[tamanho]]=$I$6,$L$6,0))))*IF(C1569="8_1",9,25))</f>
        <v>4.2093245611391112E-7</v>
      </c>
    </row>
    <row r="1570" spans="1:6" ht="12.75" x14ac:dyDescent="0.2">
      <c r="A1570" s="1">
        <v>65</v>
      </c>
      <c r="B1570" s="1">
        <v>2</v>
      </c>
      <c r="C1570" s="1" t="s">
        <v>8</v>
      </c>
      <c r="D1570" s="1" t="s">
        <v>6</v>
      </c>
      <c r="E1570" s="1">
        <v>1.9608800411224301</v>
      </c>
      <c r="F1570" s="1">
        <f>Tabla1[[#This Row],[tiempo]]/(IF(Tabla1[[#This Row],[tamanho]]=$I$3,$L$3,IF(Tabla1[[#This Row],[tamanho]]=$I$4,$L$4,IF(Tabla1[[#This Row],[tamanho]]=$I$5,$L$5,IF(Tabla1[[#This Row],[tamanho]]=$I$6,$L$6,0))))*IF(C1570="8_1",9,25))</f>
        <v>4.2738855093611233E-7</v>
      </c>
    </row>
    <row r="1571" spans="1:6" ht="12.75" x14ac:dyDescent="0.2">
      <c r="A1571" s="1">
        <v>65</v>
      </c>
      <c r="B1571" s="1">
        <v>2</v>
      </c>
      <c r="C1571" s="1" t="s">
        <v>5</v>
      </c>
      <c r="D1571" s="1" t="s">
        <v>9</v>
      </c>
      <c r="E1571" s="1">
        <v>1.7747604846954299</v>
      </c>
      <c r="F1571" s="1">
        <f>Tabla1[[#This Row],[tiempo]]/(IF(Tabla1[[#This Row],[tamanho]]=$I$3,$L$3,IF(Tabla1[[#This Row],[tamanho]]=$I$4,$L$4,IF(Tabla1[[#This Row],[tamanho]]=$I$5,$L$5,IF(Tabla1[[#This Row],[tamanho]]=$I$6,$L$6,0))))*IF(C1571="8_1",9,25))</f>
        <v>1.0745066499417144E-6</v>
      </c>
    </row>
    <row r="1572" spans="1:6" ht="12.75" x14ac:dyDescent="0.2">
      <c r="A1572" s="1">
        <v>65</v>
      </c>
      <c r="B1572" s="1">
        <v>2</v>
      </c>
      <c r="C1572" s="1" t="s">
        <v>7</v>
      </c>
      <c r="D1572" s="1" t="s">
        <v>9</v>
      </c>
      <c r="E1572" s="1">
        <v>1.95263695716857</v>
      </c>
      <c r="F1572" s="1">
        <f>Tabla1[[#This Row],[tiempo]]/(IF(Tabla1[[#This Row],[tamanho]]=$I$3,$L$3,IF(Tabla1[[#This Row],[tamanho]]=$I$4,$L$4,IF(Tabla1[[#This Row],[tamanho]]=$I$5,$L$5,IF(Tabla1[[#This Row],[tamanho]]=$I$6,$L$6,0))))*IF(C1572="8_1",9,25))</f>
        <v>4.2559190879972322E-7</v>
      </c>
    </row>
    <row r="1573" spans="1:6" ht="12.75" x14ac:dyDescent="0.2">
      <c r="A1573" s="1">
        <v>65</v>
      </c>
      <c r="B1573" s="1">
        <v>2</v>
      </c>
      <c r="C1573" s="1" t="s">
        <v>8</v>
      </c>
      <c r="D1573" s="1" t="s">
        <v>9</v>
      </c>
      <c r="E1573" s="1">
        <v>1.9661014080047601</v>
      </c>
      <c r="F1573" s="1">
        <f>Tabla1[[#This Row],[tiempo]]/(IF(Tabla1[[#This Row],[tamanho]]=$I$3,$L$3,IF(Tabla1[[#This Row],[tamanho]]=$I$4,$L$4,IF(Tabla1[[#This Row],[tamanho]]=$I$5,$L$5,IF(Tabla1[[#This Row],[tamanho]]=$I$6,$L$6,0))))*IF(C1573="8_1",9,25))</f>
        <v>4.2852658711320934E-7</v>
      </c>
    </row>
    <row r="1574" spans="1:6" ht="12.75" x14ac:dyDescent="0.2">
      <c r="A1574" s="1">
        <v>65</v>
      </c>
      <c r="B1574" s="1">
        <v>3</v>
      </c>
      <c r="C1574" s="1" t="s">
        <v>5</v>
      </c>
      <c r="D1574" s="1" t="s">
        <v>6</v>
      </c>
      <c r="E1574" s="1">
        <v>3.9620201587677002</v>
      </c>
      <c r="F1574" s="1">
        <f>Tabla1[[#This Row],[tiempo]]/(IF(Tabla1[[#This Row],[tamanho]]=$I$3,$L$3,IF(Tabla1[[#This Row],[tamanho]]=$I$4,$L$4,IF(Tabla1[[#This Row],[tamanho]]=$I$5,$L$5,IF(Tabla1[[#This Row],[tamanho]]=$I$6,$L$6,0))))*IF(C1574="8_1",9,25))</f>
        <v>1.0652662221092165E-6</v>
      </c>
    </row>
    <row r="1575" spans="1:6" ht="12.75" x14ac:dyDescent="0.2">
      <c r="A1575" s="1">
        <v>65</v>
      </c>
      <c r="B1575" s="1">
        <v>3</v>
      </c>
      <c r="C1575" s="1" t="s">
        <v>7</v>
      </c>
      <c r="D1575" s="1" t="s">
        <v>6</v>
      </c>
      <c r="E1575" s="1">
        <v>4.4452986717224103</v>
      </c>
      <c r="F1575" s="1">
        <f>Tabla1[[#This Row],[tiempo]]/(IF(Tabla1[[#This Row],[tamanho]]=$I$3,$L$3,IF(Tabla1[[#This Row],[tamanho]]=$I$4,$L$4,IF(Tabla1[[#This Row],[tamanho]]=$I$5,$L$5,IF(Tabla1[[#This Row],[tamanho]]=$I$6,$L$6,0))))*IF(C1575="8_1",9,25))</f>
        <v>4.3027381983650791E-7</v>
      </c>
    </row>
    <row r="1576" spans="1:6" ht="12.75" x14ac:dyDescent="0.2">
      <c r="A1576" s="1">
        <v>65</v>
      </c>
      <c r="B1576" s="1">
        <v>3</v>
      </c>
      <c r="C1576" s="1" t="s">
        <v>8</v>
      </c>
      <c r="D1576" s="1" t="s">
        <v>6</v>
      </c>
      <c r="E1576" s="1">
        <v>4.4421541690826398</v>
      </c>
      <c r="F1576" s="1">
        <f>Tabla1[[#This Row],[tiempo]]/(IF(Tabla1[[#This Row],[tamanho]]=$I$3,$L$3,IF(Tabla1[[#This Row],[tamanho]]=$I$4,$L$4,IF(Tabla1[[#This Row],[tamanho]]=$I$5,$L$5,IF(Tabla1[[#This Row],[tamanho]]=$I$6,$L$6,0))))*IF(C1576="8_1",9,25))</f>
        <v>4.2996945397445535E-7</v>
      </c>
    </row>
    <row r="1577" spans="1:6" ht="12.75" x14ac:dyDescent="0.2">
      <c r="A1577" s="1">
        <v>65</v>
      </c>
      <c r="B1577" s="1">
        <v>3</v>
      </c>
      <c r="C1577" s="1" t="s">
        <v>5</v>
      </c>
      <c r="D1577" s="1" t="s">
        <v>9</v>
      </c>
      <c r="E1577" s="1">
        <v>3.9208083152770898</v>
      </c>
      <c r="F1577" s="1">
        <f>Tabla1[[#This Row],[tiempo]]/(IF(Tabla1[[#This Row],[tamanho]]=$I$3,$L$3,IF(Tabla1[[#This Row],[tamanho]]=$I$4,$L$4,IF(Tabla1[[#This Row],[tamanho]]=$I$5,$L$5,IF(Tabla1[[#This Row],[tamanho]]=$I$6,$L$6,0))))*IF(C1577="8_1",9,25))</f>
        <v>1.0541856159885618E-6</v>
      </c>
    </row>
    <row r="1578" spans="1:6" ht="12.75" x14ac:dyDescent="0.2">
      <c r="A1578" s="1">
        <v>65</v>
      </c>
      <c r="B1578" s="1">
        <v>3</v>
      </c>
      <c r="C1578" s="1" t="s">
        <v>7</v>
      </c>
      <c r="D1578" s="1" t="s">
        <v>9</v>
      </c>
      <c r="E1578" s="1">
        <v>4.41710925102233</v>
      </c>
      <c r="F1578" s="1">
        <f>Tabla1[[#This Row],[tiempo]]/(IF(Tabla1[[#This Row],[tamanho]]=$I$3,$L$3,IF(Tabla1[[#This Row],[tamanho]]=$I$4,$L$4,IF(Tabla1[[#This Row],[tamanho]]=$I$5,$L$5,IF(Tabla1[[#This Row],[tamanho]]=$I$6,$L$6,0))))*IF(C1578="8_1",9,25))</f>
        <v>4.275452810769509E-7</v>
      </c>
    </row>
    <row r="1579" spans="1:6" ht="12.75" x14ac:dyDescent="0.2">
      <c r="A1579" s="1">
        <v>65</v>
      </c>
      <c r="B1579" s="1">
        <v>3</v>
      </c>
      <c r="C1579" s="1" t="s">
        <v>8</v>
      </c>
      <c r="D1579" s="1" t="s">
        <v>9</v>
      </c>
      <c r="E1579" s="1">
        <v>4.4339129924774099</v>
      </c>
      <c r="F1579" s="1">
        <f>Tabla1[[#This Row],[tiempo]]/(IF(Tabla1[[#This Row],[tamanho]]=$I$3,$L$3,IF(Tabla1[[#This Row],[tamanho]]=$I$4,$L$4,IF(Tabla1[[#This Row],[tamanho]]=$I$5,$L$5,IF(Tabla1[[#This Row],[tamanho]]=$I$6,$L$6,0))))*IF(C1579="8_1",9,25))</f>
        <v>4.2917176572002234E-7</v>
      </c>
    </row>
    <row r="1580" spans="1:6" ht="12.75" x14ac:dyDescent="0.2">
      <c r="A1580" s="1">
        <v>65</v>
      </c>
      <c r="B1580" s="1">
        <v>4</v>
      </c>
      <c r="C1580" s="1" t="s">
        <v>5</v>
      </c>
      <c r="D1580" s="1" t="s">
        <v>6</v>
      </c>
      <c r="E1580" s="1">
        <v>6.9483625888824401</v>
      </c>
      <c r="F1580" s="1">
        <f>Tabla1[[#This Row],[tiempo]]/(IF(Tabla1[[#This Row],[tamanho]]=$I$3,$L$3,IF(Tabla1[[#This Row],[tamanho]]=$I$4,$L$4,IF(Tabla1[[#This Row],[tamanho]]=$I$5,$L$5,IF(Tabla1[[#This Row],[tamanho]]=$I$6,$L$6,0))))*IF(C1580="8_1",9,25))</f>
        <v>1.0492486272189764E-6</v>
      </c>
    </row>
    <row r="1581" spans="1:6" ht="12.75" x14ac:dyDescent="0.2">
      <c r="A1581" s="1">
        <v>65</v>
      </c>
      <c r="B1581" s="1">
        <v>4</v>
      </c>
      <c r="C1581" s="1" t="s">
        <v>7</v>
      </c>
      <c r="D1581" s="1" t="s">
        <v>6</v>
      </c>
      <c r="E1581" s="1">
        <v>7.8460676670074401</v>
      </c>
      <c r="F1581" s="1">
        <f>Tabla1[[#This Row],[tiempo]]/(IF(Tabla1[[#This Row],[tamanho]]=$I$3,$L$3,IF(Tabla1[[#This Row],[tamanho]]=$I$4,$L$4,IF(Tabla1[[#This Row],[tamanho]]=$I$5,$L$5,IF(Tabla1[[#This Row],[tamanho]]=$I$6,$L$6,0))))*IF(C1581="8_1",9,25))</f>
        <v>4.265308875885225E-7</v>
      </c>
    </row>
    <row r="1582" spans="1:6" ht="12.75" x14ac:dyDescent="0.2">
      <c r="A1582" s="1">
        <v>65</v>
      </c>
      <c r="B1582" s="1">
        <v>4</v>
      </c>
      <c r="C1582" s="1" t="s">
        <v>8</v>
      </c>
      <c r="D1582" s="1" t="s">
        <v>6</v>
      </c>
      <c r="E1582" s="1">
        <v>7.8502335548400799</v>
      </c>
      <c r="F1582" s="1">
        <f>Tabla1[[#This Row],[tiempo]]/(IF(Tabla1[[#This Row],[tamanho]]=$I$3,$L$3,IF(Tabla1[[#This Row],[tamanho]]=$I$4,$L$4,IF(Tabla1[[#This Row],[tamanho]]=$I$5,$L$5,IF(Tabla1[[#This Row],[tamanho]]=$I$6,$L$6,0))))*IF(C1582="8_1",9,25))</f>
        <v>4.2675735515294607E-7</v>
      </c>
    </row>
    <row r="1583" spans="1:6" ht="12.75" x14ac:dyDescent="0.2">
      <c r="A1583" s="1">
        <v>65</v>
      </c>
      <c r="B1583" s="1">
        <v>4</v>
      </c>
      <c r="C1583" s="1" t="s">
        <v>5</v>
      </c>
      <c r="D1583" s="1" t="s">
        <v>9</v>
      </c>
      <c r="E1583" s="1">
        <v>7.0103411674499503</v>
      </c>
      <c r="F1583" s="1">
        <f>Tabla1[[#This Row],[tiempo]]/(IF(Tabla1[[#This Row],[tamanho]]=$I$3,$L$3,IF(Tabla1[[#This Row],[tamanho]]=$I$4,$L$4,IF(Tabla1[[#This Row],[tamanho]]=$I$5,$L$5,IF(Tabla1[[#This Row],[tamanho]]=$I$6,$L$6,0))))*IF(C1583="8_1",9,25))</f>
        <v>1.0586078017938604E-6</v>
      </c>
    </row>
    <row r="1584" spans="1:6" ht="12.75" x14ac:dyDescent="0.2">
      <c r="A1584" s="1">
        <v>65</v>
      </c>
      <c r="B1584" s="1">
        <v>4</v>
      </c>
      <c r="C1584" s="1" t="s">
        <v>7</v>
      </c>
      <c r="D1584" s="1" t="s">
        <v>9</v>
      </c>
      <c r="E1584" s="1">
        <v>7.84667897224426</v>
      </c>
      <c r="F1584" s="1">
        <f>Tabla1[[#This Row],[tiempo]]/(IF(Tabla1[[#This Row],[tamanho]]=$I$3,$L$3,IF(Tabla1[[#This Row],[tamanho]]=$I$4,$L$4,IF(Tabla1[[#This Row],[tamanho]]=$I$5,$L$5,IF(Tabla1[[#This Row],[tamanho]]=$I$6,$L$6,0))))*IF(C1584="8_1",9,25))</f>
        <v>4.26564119594199E-7</v>
      </c>
    </row>
    <row r="1585" spans="1:6" ht="12.75" x14ac:dyDescent="0.2">
      <c r="A1585" s="1">
        <v>65</v>
      </c>
      <c r="B1585" s="1">
        <v>4</v>
      </c>
      <c r="C1585" s="1" t="s">
        <v>8</v>
      </c>
      <c r="D1585" s="1" t="s">
        <v>9</v>
      </c>
      <c r="E1585" s="1">
        <v>7.9252126216888401</v>
      </c>
      <c r="F1585" s="1">
        <f>Tabla1[[#This Row],[tiempo]]/(IF(Tabla1[[#This Row],[tamanho]]=$I$3,$L$3,IF(Tabla1[[#This Row],[tamanho]]=$I$4,$L$4,IF(Tabla1[[#This Row],[tamanho]]=$I$5,$L$5,IF(Tabla1[[#This Row],[tamanho]]=$I$6,$L$6,0))))*IF(C1585="8_1",9,25))</f>
        <v>4.3083339544355434E-7</v>
      </c>
    </row>
    <row r="1586" spans="1:6" ht="12.75" x14ac:dyDescent="0.2">
      <c r="A1586" s="1">
        <v>66</v>
      </c>
      <c r="B1586" s="1">
        <v>1</v>
      </c>
      <c r="C1586" s="1" t="s">
        <v>5</v>
      </c>
      <c r="D1586" s="1" t="s">
        <v>6</v>
      </c>
      <c r="E1586" s="1">
        <v>0.413029193878173</v>
      </c>
      <c r="F1586" s="1">
        <f>Tabla1[[#This Row],[tiempo]]/(IF(Tabla1[[#This Row],[tamanho]]=$I$3,$L$3,IF(Tabla1[[#This Row],[tamanho]]=$I$4,$L$4,IF(Tabla1[[#This Row],[tamanho]]=$I$5,$L$5,IF(Tabla1[[#This Row],[tamanho]]=$I$6,$L$6,0))))*IF(C1586="8_1",9,25))</f>
        <v>1.7021673028867746E-6</v>
      </c>
    </row>
    <row r="1587" spans="1:6" ht="12.75" x14ac:dyDescent="0.2">
      <c r="A1587" s="1">
        <v>66</v>
      </c>
      <c r="B1587" s="1">
        <v>1</v>
      </c>
      <c r="C1587" s="1" t="s">
        <v>7</v>
      </c>
      <c r="D1587" s="1" t="s">
        <v>6</v>
      </c>
      <c r="E1587" s="1">
        <v>0.46274948120117099</v>
      </c>
      <c r="F1587" s="1">
        <f>Tabla1[[#This Row],[tiempo]]/(IF(Tabla1[[#This Row],[tamanho]]=$I$3,$L$3,IF(Tabla1[[#This Row],[tamanho]]=$I$4,$L$4,IF(Tabla1[[#This Row],[tamanho]]=$I$5,$L$5,IF(Tabla1[[#This Row],[tamanho]]=$I$6,$L$6,0))))*IF(C1587="8_1",9,25))</f>
        <v>6.865464651921976E-7</v>
      </c>
    </row>
    <row r="1588" spans="1:6" ht="12.75" x14ac:dyDescent="0.2">
      <c r="A1588" s="1">
        <v>66</v>
      </c>
      <c r="B1588" s="1">
        <v>1</v>
      </c>
      <c r="C1588" s="1" t="s">
        <v>8</v>
      </c>
      <c r="D1588" s="1" t="s">
        <v>6</v>
      </c>
      <c r="E1588" s="1">
        <v>0.46592640876769997</v>
      </c>
      <c r="F1588" s="1">
        <f>Tabla1[[#This Row],[tiempo]]/(IF(Tabla1[[#This Row],[tamanho]]=$I$3,$L$3,IF(Tabla1[[#This Row],[tamanho]]=$I$4,$L$4,IF(Tabla1[[#This Row],[tamanho]]=$I$5,$L$5,IF(Tabla1[[#This Row],[tamanho]]=$I$6,$L$6,0))))*IF(C1588="8_1",9,25))</f>
        <v>6.912598327475983E-7</v>
      </c>
    </row>
    <row r="1589" spans="1:6" ht="12.75" x14ac:dyDescent="0.2">
      <c r="A1589" s="1">
        <v>66</v>
      </c>
      <c r="B1589" s="1">
        <v>1</v>
      </c>
      <c r="C1589" s="1" t="s">
        <v>5</v>
      </c>
      <c r="D1589" s="1" t="s">
        <v>9</v>
      </c>
      <c r="E1589" s="1">
        <v>0.42053389549255299</v>
      </c>
      <c r="F1589" s="1">
        <f>Tabla1[[#This Row],[tiempo]]/(IF(Tabla1[[#This Row],[tamanho]]=$I$3,$L$3,IF(Tabla1[[#This Row],[tamanho]]=$I$4,$L$4,IF(Tabla1[[#This Row],[tamanho]]=$I$5,$L$5,IF(Tabla1[[#This Row],[tamanho]]=$I$6,$L$6,0))))*IF(C1589="8_1",9,25))</f>
        <v>1.7330955227202789E-6</v>
      </c>
    </row>
    <row r="1590" spans="1:6" ht="12.75" x14ac:dyDescent="0.2">
      <c r="A1590" s="1">
        <v>66</v>
      </c>
      <c r="B1590" s="1">
        <v>1</v>
      </c>
      <c r="C1590" s="1" t="s">
        <v>7</v>
      </c>
      <c r="D1590" s="1" t="s">
        <v>9</v>
      </c>
      <c r="E1590" s="1">
        <v>0.47498273849487299</v>
      </c>
      <c r="F1590" s="1">
        <f>Tabla1[[#This Row],[tiempo]]/(IF(Tabla1[[#This Row],[tamanho]]=$I$3,$L$3,IF(Tabla1[[#This Row],[tamanho]]=$I$4,$L$4,IF(Tabla1[[#This Row],[tamanho]]=$I$5,$L$5,IF(Tabla1[[#This Row],[tamanho]]=$I$6,$L$6,0))))*IF(C1590="8_1",9,25))</f>
        <v>7.0469602536237233E-7</v>
      </c>
    </row>
    <row r="1591" spans="1:6" ht="12.75" x14ac:dyDescent="0.2">
      <c r="A1591" s="1">
        <v>66</v>
      </c>
      <c r="B1591" s="1">
        <v>1</v>
      </c>
      <c r="C1591" s="1" t="s">
        <v>8</v>
      </c>
      <c r="D1591" s="1" t="s">
        <v>9</v>
      </c>
      <c r="E1591" s="1">
        <v>0.47798943519592202</v>
      </c>
      <c r="F1591" s="1">
        <f>Tabla1[[#This Row],[tiempo]]/(IF(Tabla1[[#This Row],[tamanho]]=$I$3,$L$3,IF(Tabla1[[#This Row],[tamanho]]=$I$4,$L$4,IF(Tabla1[[#This Row],[tamanho]]=$I$5,$L$5,IF(Tabla1[[#This Row],[tamanho]]=$I$6,$L$6,0))))*IF(C1591="8_1",9,25))</f>
        <v>7.0915683423600311E-7</v>
      </c>
    </row>
    <row r="1592" spans="1:6" ht="12.75" x14ac:dyDescent="0.2">
      <c r="A1592" s="1">
        <v>66</v>
      </c>
      <c r="B1592" s="1">
        <v>2</v>
      </c>
      <c r="C1592" s="1" t="s">
        <v>5</v>
      </c>
      <c r="D1592" s="1" t="s">
        <v>6</v>
      </c>
      <c r="E1592" s="1">
        <v>1.7091257572173999</v>
      </c>
      <c r="F1592" s="1">
        <f>Tabla1[[#This Row],[tiempo]]/(IF(Tabla1[[#This Row],[tamanho]]=$I$3,$L$3,IF(Tabla1[[#This Row],[tamanho]]=$I$4,$L$4,IF(Tabla1[[#This Row],[tamanho]]=$I$5,$L$5,IF(Tabla1[[#This Row],[tamanho]]=$I$6,$L$6,0))))*IF(C1592="8_1",9,25))</f>
        <v>1.0347689209633964E-6</v>
      </c>
    </row>
    <row r="1593" spans="1:6" ht="12.75" x14ac:dyDescent="0.2">
      <c r="A1593" s="1">
        <v>66</v>
      </c>
      <c r="B1593" s="1">
        <v>2</v>
      </c>
      <c r="C1593" s="1" t="s">
        <v>7</v>
      </c>
      <c r="D1593" s="1" t="s">
        <v>6</v>
      </c>
      <c r="E1593" s="1">
        <v>1.93379783630371</v>
      </c>
      <c r="F1593" s="1">
        <f>Tabla1[[#This Row],[tiempo]]/(IF(Tabla1[[#This Row],[tamanho]]=$I$3,$L$3,IF(Tabla1[[#This Row],[tamanho]]=$I$4,$L$4,IF(Tabla1[[#This Row],[tamanho]]=$I$5,$L$5,IF(Tabla1[[#This Row],[tamanho]]=$I$6,$L$6,0))))*IF(C1593="8_1",9,25))</f>
        <v>4.2148578073554344E-7</v>
      </c>
    </row>
    <row r="1594" spans="1:6" ht="12.75" x14ac:dyDescent="0.2">
      <c r="A1594" s="1">
        <v>66</v>
      </c>
      <c r="B1594" s="1">
        <v>2</v>
      </c>
      <c r="C1594" s="1" t="s">
        <v>8</v>
      </c>
      <c r="D1594" s="1" t="s">
        <v>6</v>
      </c>
      <c r="E1594" s="1">
        <v>1.96718406677246</v>
      </c>
      <c r="F1594" s="1">
        <f>Tabla1[[#This Row],[tiempo]]/(IF(Tabla1[[#This Row],[tamanho]]=$I$3,$L$3,IF(Tabla1[[#This Row],[tamanho]]=$I$4,$L$4,IF(Tabla1[[#This Row],[tamanho]]=$I$5,$L$5,IF(Tabla1[[#This Row],[tamanho]]=$I$6,$L$6,0))))*IF(C1594="8_1",9,25))</f>
        <v>4.2876256073330936E-7</v>
      </c>
    </row>
    <row r="1595" spans="1:6" ht="12.75" x14ac:dyDescent="0.2">
      <c r="A1595" s="1">
        <v>66</v>
      </c>
      <c r="B1595" s="1">
        <v>2</v>
      </c>
      <c r="C1595" s="1" t="s">
        <v>5</v>
      </c>
      <c r="D1595" s="1" t="s">
        <v>9</v>
      </c>
      <c r="E1595" s="1">
        <v>1.7401826381683301</v>
      </c>
      <c r="F1595" s="1">
        <f>Tabla1[[#This Row],[tiempo]]/(IF(Tabla1[[#This Row],[tamanho]]=$I$3,$L$3,IF(Tabla1[[#This Row],[tamanho]]=$I$4,$L$4,IF(Tabla1[[#This Row],[tamanho]]=$I$5,$L$5,IF(Tabla1[[#This Row],[tamanho]]=$I$6,$L$6,0))))*IF(C1595="8_1",9,25))</f>
        <v>1.0535719230563517E-6</v>
      </c>
    </row>
    <row r="1596" spans="1:6" ht="12.75" x14ac:dyDescent="0.2">
      <c r="A1596" s="1">
        <v>66</v>
      </c>
      <c r="B1596" s="1">
        <v>2</v>
      </c>
      <c r="C1596" s="1" t="s">
        <v>7</v>
      </c>
      <c r="D1596" s="1" t="s">
        <v>9</v>
      </c>
      <c r="E1596" s="1">
        <v>1.96891021728515</v>
      </c>
      <c r="F1596" s="1">
        <f>Tabla1[[#This Row],[tiempo]]/(IF(Tabla1[[#This Row],[tamanho]]=$I$3,$L$3,IF(Tabla1[[#This Row],[tamanho]]=$I$4,$L$4,IF(Tabla1[[#This Row],[tamanho]]=$I$5,$L$5,IF(Tabla1[[#This Row],[tamanho]]=$I$6,$L$6,0))))*IF(C1596="8_1",9,25))</f>
        <v>4.2913878821833893E-7</v>
      </c>
    </row>
    <row r="1597" spans="1:6" ht="12.75" x14ac:dyDescent="0.2">
      <c r="A1597" s="1">
        <v>66</v>
      </c>
      <c r="B1597" s="1">
        <v>2</v>
      </c>
      <c r="C1597" s="1" t="s">
        <v>8</v>
      </c>
      <c r="D1597" s="1" t="s">
        <v>9</v>
      </c>
      <c r="E1597" s="1">
        <v>1.9370865821838299</v>
      </c>
      <c r="F1597" s="1">
        <f>Tabla1[[#This Row],[tiempo]]/(IF(Tabla1[[#This Row],[tamanho]]=$I$3,$L$3,IF(Tabla1[[#This Row],[tamanho]]=$I$4,$L$4,IF(Tabla1[[#This Row],[tamanho]]=$I$5,$L$5,IF(Tabla1[[#This Row],[tamanho]]=$I$6,$L$6,0))))*IF(C1597="8_1",9,25))</f>
        <v>4.2220258763174546E-7</v>
      </c>
    </row>
    <row r="1598" spans="1:6" ht="12.75" x14ac:dyDescent="0.2">
      <c r="A1598" s="1">
        <v>66</v>
      </c>
      <c r="B1598" s="1">
        <v>3</v>
      </c>
      <c r="C1598" s="1" t="s">
        <v>5</v>
      </c>
      <c r="D1598" s="1" t="s">
        <v>6</v>
      </c>
      <c r="E1598" s="1">
        <v>3.9162209033965998</v>
      </c>
      <c r="F1598" s="1">
        <f>Tabla1[[#This Row],[tiempo]]/(IF(Tabla1[[#This Row],[tamanho]]=$I$3,$L$3,IF(Tabla1[[#This Row],[tamanho]]=$I$4,$L$4,IF(Tabla1[[#This Row],[tamanho]]=$I$5,$L$5,IF(Tabla1[[#This Row],[tamanho]]=$I$6,$L$6,0))))*IF(C1598="8_1",9,25))</f>
        <v>1.0529522010317058E-6</v>
      </c>
    </row>
    <row r="1599" spans="1:6" ht="12.75" x14ac:dyDescent="0.2">
      <c r="A1599" s="1">
        <v>66</v>
      </c>
      <c r="B1599" s="1">
        <v>3</v>
      </c>
      <c r="C1599" s="1" t="s">
        <v>7</v>
      </c>
      <c r="D1599" s="1" t="s">
        <v>6</v>
      </c>
      <c r="E1599" s="1">
        <v>4.3822381496429399</v>
      </c>
      <c r="F1599" s="1">
        <f>Tabla1[[#This Row],[tiempo]]/(IF(Tabla1[[#This Row],[tamanho]]=$I$3,$L$3,IF(Tabla1[[#This Row],[tamanho]]=$I$4,$L$4,IF(Tabla1[[#This Row],[tamanho]]=$I$5,$L$5,IF(Tabla1[[#This Row],[tamanho]]=$I$6,$L$6,0))))*IF(C1599="8_1",9,25))</f>
        <v>4.2417000236106598E-7</v>
      </c>
    </row>
    <row r="1600" spans="1:6" ht="12.75" x14ac:dyDescent="0.2">
      <c r="A1600" s="1">
        <v>66</v>
      </c>
      <c r="B1600" s="1">
        <v>3</v>
      </c>
      <c r="C1600" s="1" t="s">
        <v>8</v>
      </c>
      <c r="D1600" s="1" t="s">
        <v>6</v>
      </c>
      <c r="E1600" s="1">
        <v>4.3757636547088596</v>
      </c>
      <c r="F1600" s="1">
        <f>Tabla1[[#This Row],[tiempo]]/(IF(Tabla1[[#This Row],[tamanho]]=$I$3,$L$3,IF(Tabla1[[#This Row],[tamanho]]=$I$4,$L$4,IF(Tabla1[[#This Row],[tamanho]]=$I$5,$L$5,IF(Tabla1[[#This Row],[tamanho]]=$I$6,$L$6,0))))*IF(C1600="8_1",9,25))</f>
        <v>4.2354331653576475E-7</v>
      </c>
    </row>
    <row r="1601" spans="1:6" ht="12.75" x14ac:dyDescent="0.2">
      <c r="A1601" s="1">
        <v>66</v>
      </c>
      <c r="B1601" s="1">
        <v>3</v>
      </c>
      <c r="C1601" s="1" t="s">
        <v>5</v>
      </c>
      <c r="D1601" s="1" t="s">
        <v>9</v>
      </c>
      <c r="E1601" s="1">
        <v>3.9122548103332502</v>
      </c>
      <c r="F1601" s="1">
        <f>Tabla1[[#This Row],[tiempo]]/(IF(Tabla1[[#This Row],[tamanho]]=$I$3,$L$3,IF(Tabla1[[#This Row],[tamanho]]=$I$4,$L$4,IF(Tabla1[[#This Row],[tamanho]]=$I$5,$L$5,IF(Tabla1[[#This Row],[tamanho]]=$I$6,$L$6,0))))*IF(C1601="8_1",9,25))</f>
        <v>1.0518858397299396E-6</v>
      </c>
    </row>
    <row r="1602" spans="1:6" ht="12.75" x14ac:dyDescent="0.2">
      <c r="A1602" s="1">
        <v>66</v>
      </c>
      <c r="B1602" s="1">
        <v>3</v>
      </c>
      <c r="C1602" s="1" t="s">
        <v>7</v>
      </c>
      <c r="D1602" s="1" t="s">
        <v>9</v>
      </c>
      <c r="E1602" s="1">
        <v>4.3729267120361301</v>
      </c>
      <c r="F1602" s="1">
        <f>Tabla1[[#This Row],[tiempo]]/(IF(Tabla1[[#This Row],[tamanho]]=$I$3,$L$3,IF(Tabla1[[#This Row],[tamanho]]=$I$4,$L$4,IF(Tabla1[[#This Row],[tamanho]]=$I$5,$L$5,IF(Tabla1[[#This Row],[tamanho]]=$I$6,$L$6,0))))*IF(C1602="8_1",9,25))</f>
        <v>4.2326872032736655E-7</v>
      </c>
    </row>
    <row r="1603" spans="1:6" ht="12.75" x14ac:dyDescent="0.2">
      <c r="A1603" s="1">
        <v>66</v>
      </c>
      <c r="B1603" s="1">
        <v>3</v>
      </c>
      <c r="C1603" s="1" t="s">
        <v>8</v>
      </c>
      <c r="D1603" s="1" t="s">
        <v>9</v>
      </c>
      <c r="E1603" s="1">
        <v>4.4026837348937899</v>
      </c>
      <c r="F1603" s="1">
        <f>Tabla1[[#This Row],[tiempo]]/(IF(Tabla1[[#This Row],[tamanho]]=$I$3,$L$3,IF(Tabla1[[#This Row],[tamanho]]=$I$4,$L$4,IF(Tabla1[[#This Row],[tamanho]]=$I$5,$L$5,IF(Tabla1[[#This Row],[tamanho]]=$I$6,$L$6,0))))*IF(C1603="8_1",9,25))</f>
        <v>4.2614899201155611E-7</v>
      </c>
    </row>
    <row r="1604" spans="1:6" ht="12.75" x14ac:dyDescent="0.2">
      <c r="A1604" s="1">
        <v>66</v>
      </c>
      <c r="B1604" s="1">
        <v>4</v>
      </c>
      <c r="C1604" s="1" t="s">
        <v>5</v>
      </c>
      <c r="D1604" s="1" t="s">
        <v>6</v>
      </c>
      <c r="E1604" s="1">
        <v>6.9665865898132298</v>
      </c>
      <c r="F1604" s="1">
        <f>Tabla1[[#This Row],[tiempo]]/(IF(Tabla1[[#This Row],[tamanho]]=$I$3,$L$3,IF(Tabla1[[#This Row],[tamanho]]=$I$4,$L$4,IF(Tabla1[[#This Row],[tamanho]]=$I$5,$L$5,IF(Tabla1[[#This Row],[tamanho]]=$I$6,$L$6,0))))*IF(C1604="8_1",9,25))</f>
        <v>1.0520005716827934E-6</v>
      </c>
    </row>
    <row r="1605" spans="1:6" ht="12.75" x14ac:dyDescent="0.2">
      <c r="A1605" s="1">
        <v>66</v>
      </c>
      <c r="B1605" s="1">
        <v>4</v>
      </c>
      <c r="C1605" s="1" t="s">
        <v>7</v>
      </c>
      <c r="D1605" s="1" t="s">
        <v>6</v>
      </c>
      <c r="E1605" s="1">
        <v>7.7658948898315403</v>
      </c>
      <c r="F1605" s="1">
        <f>Tabla1[[#This Row],[tiempo]]/(IF(Tabla1[[#This Row],[tamanho]]=$I$3,$L$3,IF(Tabla1[[#This Row],[tamanho]]=$I$4,$L$4,IF(Tabla1[[#This Row],[tamanho]]=$I$5,$L$5,IF(Tabla1[[#This Row],[tamanho]]=$I$6,$L$6,0))))*IF(C1605="8_1",9,25))</f>
        <v>4.2217250485967248E-7</v>
      </c>
    </row>
    <row r="1606" spans="1:6" ht="12.75" x14ac:dyDescent="0.2">
      <c r="A1606" s="1">
        <v>66</v>
      </c>
      <c r="B1606" s="1">
        <v>4</v>
      </c>
      <c r="C1606" s="1" t="s">
        <v>8</v>
      </c>
      <c r="D1606" s="1" t="s">
        <v>6</v>
      </c>
      <c r="E1606" s="1">
        <v>7.7882485389709402</v>
      </c>
      <c r="F1606" s="1">
        <f>Tabla1[[#This Row],[tiempo]]/(IF(Tabla1[[#This Row],[tamanho]]=$I$3,$L$3,IF(Tabla1[[#This Row],[tamanho]]=$I$4,$L$4,IF(Tabla1[[#This Row],[tamanho]]=$I$5,$L$5,IF(Tabla1[[#This Row],[tamanho]]=$I$6,$L$6,0))))*IF(C1606="8_1",9,25))</f>
        <v>4.2338770235897056E-7</v>
      </c>
    </row>
    <row r="1607" spans="1:6" ht="12.75" x14ac:dyDescent="0.2">
      <c r="A1607" s="1">
        <v>66</v>
      </c>
      <c r="B1607" s="1">
        <v>4</v>
      </c>
      <c r="C1607" s="1" t="s">
        <v>5</v>
      </c>
      <c r="D1607" s="1" t="s">
        <v>9</v>
      </c>
      <c r="E1607" s="1">
        <v>6.9346811771392796</v>
      </c>
      <c r="F1607" s="1">
        <f>Tabla1[[#This Row],[tiempo]]/(IF(Tabla1[[#This Row],[tamanho]]=$I$3,$L$3,IF(Tabla1[[#This Row],[tamanho]]=$I$4,$L$4,IF(Tabla1[[#This Row],[tamanho]]=$I$5,$L$5,IF(Tabla1[[#This Row],[tamanho]]=$I$6,$L$6,0))))*IF(C1607="8_1",9,25))</f>
        <v>1.0471826437147623E-6</v>
      </c>
    </row>
    <row r="1608" spans="1:6" ht="12.75" x14ac:dyDescent="0.2">
      <c r="A1608" s="1">
        <v>66</v>
      </c>
      <c r="B1608" s="1">
        <v>4</v>
      </c>
      <c r="C1608" s="1" t="s">
        <v>7</v>
      </c>
      <c r="D1608" s="1" t="s">
        <v>9</v>
      </c>
      <c r="E1608" s="1">
        <v>7.7229022979736301</v>
      </c>
      <c r="F1608" s="1">
        <f>Tabla1[[#This Row],[tiempo]]/(IF(Tabla1[[#This Row],[tamanho]]=$I$3,$L$3,IF(Tabla1[[#This Row],[tamanho]]=$I$4,$L$4,IF(Tabla1[[#This Row],[tamanho]]=$I$5,$L$5,IF(Tabla1[[#This Row],[tamanho]]=$I$6,$L$6,0))))*IF(C1608="8_1",9,25))</f>
        <v>4.1983532537777803E-7</v>
      </c>
    </row>
    <row r="1609" spans="1:6" ht="12.75" x14ac:dyDescent="0.2">
      <c r="A1609" s="1">
        <v>66</v>
      </c>
      <c r="B1609" s="1">
        <v>4</v>
      </c>
      <c r="C1609" s="1" t="s">
        <v>8</v>
      </c>
      <c r="D1609" s="1" t="s">
        <v>9</v>
      </c>
      <c r="E1609" s="1">
        <v>7.7677025794982901</v>
      </c>
      <c r="F1609" s="1">
        <f>Tabla1[[#This Row],[tiempo]]/(IF(Tabla1[[#This Row],[tamanho]]=$I$3,$L$3,IF(Tabla1[[#This Row],[tamanho]]=$I$4,$L$4,IF(Tabla1[[#This Row],[tamanho]]=$I$5,$L$5,IF(Tabla1[[#This Row],[tamanho]]=$I$6,$L$6,0))))*IF(C1609="8_1",9,25))</f>
        <v>4.2227077516662969E-7</v>
      </c>
    </row>
    <row r="1610" spans="1:6" ht="12.75" x14ac:dyDescent="0.2">
      <c r="A1610" s="1">
        <v>67</v>
      </c>
      <c r="B1610" s="1">
        <v>1</v>
      </c>
      <c r="C1610" s="1" t="s">
        <v>5</v>
      </c>
      <c r="D1610" s="1" t="s">
        <v>6</v>
      </c>
      <c r="E1610" s="1">
        <v>0.41315793991088801</v>
      </c>
      <c r="F1610" s="1">
        <f>Tabla1[[#This Row],[tiempo]]/(IF(Tabla1[[#This Row],[tamanho]]=$I$3,$L$3,IF(Tabla1[[#This Row],[tamanho]]=$I$4,$L$4,IF(Tabla1[[#This Row],[tamanho]]=$I$5,$L$5,IF(Tabla1[[#This Row],[tamanho]]=$I$6,$L$6,0))))*IF(C1610="8_1",9,25))</f>
        <v>1.702697888352674E-6</v>
      </c>
    </row>
    <row r="1611" spans="1:6" ht="12.75" x14ac:dyDescent="0.2">
      <c r="A1611" s="1">
        <v>67</v>
      </c>
      <c r="B1611" s="1">
        <v>1</v>
      </c>
      <c r="C1611" s="1" t="s">
        <v>7</v>
      </c>
      <c r="D1611" s="1" t="s">
        <v>6</v>
      </c>
      <c r="E1611" s="1">
        <v>0.46339249610900801</v>
      </c>
      <c r="F1611" s="1">
        <f>Tabla1[[#This Row],[tiempo]]/(IF(Tabla1[[#This Row],[tamanho]]=$I$3,$L$3,IF(Tabla1[[#This Row],[tamanho]]=$I$4,$L$4,IF(Tabla1[[#This Row],[tamanho]]=$I$5,$L$5,IF(Tabla1[[#This Row],[tamanho]]=$I$6,$L$6,0))))*IF(C1611="8_1",9,25))</f>
        <v>6.8750045785988355E-7</v>
      </c>
    </row>
    <row r="1612" spans="1:6" ht="12.75" x14ac:dyDescent="0.2">
      <c r="A1612" s="1">
        <v>67</v>
      </c>
      <c r="B1612" s="1">
        <v>1</v>
      </c>
      <c r="C1612" s="1" t="s">
        <v>8</v>
      </c>
      <c r="D1612" s="1" t="s">
        <v>6</v>
      </c>
      <c r="E1612" s="1">
        <v>0.461726903915405</v>
      </c>
      <c r="F1612" s="1">
        <f>Tabla1[[#This Row],[tiempo]]/(IF(Tabla1[[#This Row],[tamanho]]=$I$3,$L$3,IF(Tabla1[[#This Row],[tamanho]]=$I$4,$L$4,IF(Tabla1[[#This Row],[tamanho]]=$I$5,$L$5,IF(Tabla1[[#This Row],[tamanho]]=$I$6,$L$6,0))))*IF(C1612="8_1",9,25))</f>
        <v>6.8502934448337231E-7</v>
      </c>
    </row>
    <row r="1613" spans="1:6" ht="12.75" x14ac:dyDescent="0.2">
      <c r="A1613" s="1">
        <v>67</v>
      </c>
      <c r="B1613" s="1">
        <v>1</v>
      </c>
      <c r="C1613" s="1" t="s">
        <v>5</v>
      </c>
      <c r="D1613" s="1" t="s">
        <v>9</v>
      </c>
      <c r="E1613" s="1">
        <v>0.40816664695739702</v>
      </c>
      <c r="F1613" s="1">
        <f>Tabla1[[#This Row],[tiempo]]/(IF(Tabla1[[#This Row],[tamanho]]=$I$3,$L$3,IF(Tabla1[[#This Row],[tamanho]]=$I$4,$L$4,IF(Tabla1[[#This Row],[tamanho]]=$I$5,$L$5,IF(Tabla1[[#This Row],[tamanho]]=$I$6,$L$6,0))))*IF(C1613="8_1",9,25))</f>
        <v>1.6821278758923261E-6</v>
      </c>
    </row>
    <row r="1614" spans="1:6" ht="12.75" x14ac:dyDescent="0.2">
      <c r="A1614" s="1">
        <v>67</v>
      </c>
      <c r="B1614" s="1">
        <v>1</v>
      </c>
      <c r="C1614" s="1" t="s">
        <v>7</v>
      </c>
      <c r="D1614" s="1" t="s">
        <v>9</v>
      </c>
      <c r="E1614" s="1">
        <v>0.45730185508728</v>
      </c>
      <c r="F1614" s="1">
        <f>Tabla1[[#This Row],[tiempo]]/(IF(Tabla1[[#This Row],[tamanho]]=$I$3,$L$3,IF(Tabla1[[#This Row],[tamanho]]=$I$4,$L$4,IF(Tabla1[[#This Row],[tamanho]]=$I$5,$L$5,IF(Tabla1[[#This Row],[tamanho]]=$I$6,$L$6,0))))*IF(C1614="8_1",9,25))</f>
        <v>6.7846423365198615E-7</v>
      </c>
    </row>
    <row r="1615" spans="1:6" ht="12.75" x14ac:dyDescent="0.2">
      <c r="A1615" s="1">
        <v>67</v>
      </c>
      <c r="B1615" s="1">
        <v>1</v>
      </c>
      <c r="C1615" s="1" t="s">
        <v>8</v>
      </c>
      <c r="D1615" s="1" t="s">
        <v>9</v>
      </c>
      <c r="E1615" s="1">
        <v>0.46081566810607899</v>
      </c>
      <c r="F1615" s="1">
        <f>Tabla1[[#This Row],[tiempo]]/(IF(Tabla1[[#This Row],[tamanho]]=$I$3,$L$3,IF(Tabla1[[#This Row],[tamanho]]=$I$4,$L$4,IF(Tabla1[[#This Row],[tamanho]]=$I$5,$L$5,IF(Tabla1[[#This Row],[tamanho]]=$I$6,$L$6,0))))*IF(C1615="8_1",9,25))</f>
        <v>6.8367741271626273E-7</v>
      </c>
    </row>
    <row r="1616" spans="1:6" ht="12.75" x14ac:dyDescent="0.2">
      <c r="A1616" s="1">
        <v>67</v>
      </c>
      <c r="B1616" s="1">
        <v>2</v>
      </c>
      <c r="C1616" s="1" t="s">
        <v>5</v>
      </c>
      <c r="D1616" s="1" t="s">
        <v>6</v>
      </c>
      <c r="E1616" s="1">
        <v>1.69826555252075</v>
      </c>
      <c r="F1616" s="1">
        <f>Tabla1[[#This Row],[tiempo]]/(IF(Tabla1[[#This Row],[tamanho]]=$I$3,$L$3,IF(Tabla1[[#This Row],[tamanho]]=$I$4,$L$4,IF(Tabla1[[#This Row],[tamanho]]=$I$5,$L$5,IF(Tabla1[[#This Row],[tamanho]]=$I$6,$L$6,0))))*IF(C1616="8_1",9,25))</f>
        <v>1.0281937451766303E-6</v>
      </c>
    </row>
    <row r="1617" spans="1:6" ht="12.75" x14ac:dyDescent="0.2">
      <c r="A1617" s="1">
        <v>67</v>
      </c>
      <c r="B1617" s="1">
        <v>2</v>
      </c>
      <c r="C1617" s="1" t="s">
        <v>7</v>
      </c>
      <c r="D1617" s="1" t="s">
        <v>6</v>
      </c>
      <c r="E1617" s="1">
        <v>1.8881962299346899</v>
      </c>
      <c r="F1617" s="1">
        <f>Tabla1[[#This Row],[tiempo]]/(IF(Tabla1[[#This Row],[tamanho]]=$I$3,$L$3,IF(Tabla1[[#This Row],[tamanho]]=$I$4,$L$4,IF(Tabla1[[#This Row],[tamanho]]=$I$5,$L$5,IF(Tabla1[[#This Row],[tamanho]]=$I$6,$L$6,0))))*IF(C1617="8_1",9,25))</f>
        <v>4.1154656769971771E-7</v>
      </c>
    </row>
    <row r="1618" spans="1:6" ht="12.75" x14ac:dyDescent="0.2">
      <c r="A1618" s="1">
        <v>67</v>
      </c>
      <c r="B1618" s="1">
        <v>2</v>
      </c>
      <c r="C1618" s="1" t="s">
        <v>8</v>
      </c>
      <c r="D1618" s="1" t="s">
        <v>6</v>
      </c>
      <c r="E1618" s="1">
        <v>1.88912606239318</v>
      </c>
      <c r="F1618" s="1">
        <f>Tabla1[[#This Row],[tiempo]]/(IF(Tabla1[[#This Row],[tamanho]]=$I$3,$L$3,IF(Tabla1[[#This Row],[tamanho]]=$I$4,$L$4,IF(Tabla1[[#This Row],[tamanho]]=$I$5,$L$5,IF(Tabla1[[#This Row],[tamanho]]=$I$6,$L$6,0))))*IF(C1618="8_1",9,25))</f>
        <v>4.117492316764595E-7</v>
      </c>
    </row>
    <row r="1619" spans="1:6" ht="12.75" x14ac:dyDescent="0.2">
      <c r="A1619" s="1">
        <v>67</v>
      </c>
      <c r="B1619" s="1">
        <v>2</v>
      </c>
      <c r="C1619" s="1" t="s">
        <v>5</v>
      </c>
      <c r="D1619" s="1" t="s">
        <v>9</v>
      </c>
      <c r="E1619" s="1">
        <v>1.7257678508758501</v>
      </c>
      <c r="F1619" s="1">
        <f>Tabla1[[#This Row],[tiempo]]/(IF(Tabla1[[#This Row],[tamanho]]=$I$3,$L$3,IF(Tabla1[[#This Row],[tamanho]]=$I$4,$L$4,IF(Tabla1[[#This Row],[tamanho]]=$I$5,$L$5,IF(Tabla1[[#This Row],[tamanho]]=$I$6,$L$6,0))))*IF(C1619="8_1",9,25))</f>
        <v>1.0448446694709627E-6</v>
      </c>
    </row>
    <row r="1620" spans="1:6" ht="12.75" x14ac:dyDescent="0.2">
      <c r="A1620" s="1">
        <v>67</v>
      </c>
      <c r="B1620" s="1">
        <v>2</v>
      </c>
      <c r="C1620" s="1" t="s">
        <v>7</v>
      </c>
      <c r="D1620" s="1" t="s">
        <v>9</v>
      </c>
      <c r="E1620" s="1">
        <v>1.9333267211914</v>
      </c>
      <c r="F1620" s="1">
        <f>Tabla1[[#This Row],[tiempo]]/(IF(Tabla1[[#This Row],[tamanho]]=$I$3,$L$3,IF(Tabla1[[#This Row],[tamanho]]=$I$4,$L$4,IF(Tabla1[[#This Row],[tamanho]]=$I$5,$L$5,IF(Tabla1[[#This Row],[tamanho]]=$I$6,$L$6,0))))*IF(C1620="8_1",9,25))</f>
        <v>4.2138309765399243E-7</v>
      </c>
    </row>
    <row r="1621" spans="1:6" ht="12.75" x14ac:dyDescent="0.2">
      <c r="A1621" s="1">
        <v>67</v>
      </c>
      <c r="B1621" s="1">
        <v>2</v>
      </c>
      <c r="C1621" s="1" t="s">
        <v>8</v>
      </c>
      <c r="D1621" s="1" t="s">
        <v>9</v>
      </c>
      <c r="E1621" s="1">
        <v>1.9256794452667201</v>
      </c>
      <c r="F1621" s="1">
        <f>Tabla1[[#This Row],[tiempo]]/(IF(Tabla1[[#This Row],[tamanho]]=$I$3,$L$3,IF(Tabla1[[#This Row],[tamanho]]=$I$4,$L$4,IF(Tabla1[[#This Row],[tamanho]]=$I$5,$L$5,IF(Tabla1[[#This Row],[tamanho]]=$I$6,$L$6,0))))*IF(C1621="8_1",9,25))</f>
        <v>4.1971631635808681E-7</v>
      </c>
    </row>
    <row r="1622" spans="1:6" ht="12.75" x14ac:dyDescent="0.2">
      <c r="A1622" s="1">
        <v>67</v>
      </c>
      <c r="B1622" s="1">
        <v>3</v>
      </c>
      <c r="C1622" s="1" t="s">
        <v>5</v>
      </c>
      <c r="D1622" s="1" t="s">
        <v>6</v>
      </c>
      <c r="E1622" s="1">
        <v>3.82207751274108</v>
      </c>
      <c r="F1622" s="1">
        <f>Tabla1[[#This Row],[tiempo]]/(IF(Tabla1[[#This Row],[tamanho]]=$I$3,$L$3,IF(Tabla1[[#This Row],[tamanho]]=$I$4,$L$4,IF(Tabla1[[#This Row],[tamanho]]=$I$5,$L$5,IF(Tabla1[[#This Row],[tamanho]]=$I$6,$L$6,0))))*IF(C1622="8_1",9,25))</f>
        <v>1.0276399183876545E-6</v>
      </c>
    </row>
    <row r="1623" spans="1:6" ht="12.75" x14ac:dyDescent="0.2">
      <c r="A1623" s="1">
        <v>67</v>
      </c>
      <c r="B1623" s="1">
        <v>3</v>
      </c>
      <c r="C1623" s="1" t="s">
        <v>7</v>
      </c>
      <c r="D1623" s="1" t="s">
        <v>6</v>
      </c>
      <c r="E1623" s="1">
        <v>4.2855753898620597</v>
      </c>
      <c r="F1623" s="1">
        <f>Tabla1[[#This Row],[tiempo]]/(IF(Tabla1[[#This Row],[tamanho]]=$I$3,$L$3,IF(Tabla1[[#This Row],[tamanho]]=$I$4,$L$4,IF(Tabla1[[#This Row],[tamanho]]=$I$5,$L$5,IF(Tabla1[[#This Row],[tamanho]]=$I$6,$L$6,0))))*IF(C1623="8_1",9,25))</f>
        <v>4.1481372329900178E-7</v>
      </c>
    </row>
    <row r="1624" spans="1:6" ht="12.75" x14ac:dyDescent="0.2">
      <c r="A1624" s="1">
        <v>67</v>
      </c>
      <c r="B1624" s="1">
        <v>3</v>
      </c>
      <c r="C1624" s="1" t="s">
        <v>8</v>
      </c>
      <c r="D1624" s="1" t="s">
        <v>6</v>
      </c>
      <c r="E1624" s="1">
        <v>4.3361845016479403</v>
      </c>
      <c r="F1624" s="1">
        <f>Tabla1[[#This Row],[tiempo]]/(IF(Tabla1[[#This Row],[tamanho]]=$I$3,$L$3,IF(Tabla1[[#This Row],[tamanho]]=$I$4,$L$4,IF(Tabla1[[#This Row],[tamanho]]=$I$5,$L$5,IF(Tabla1[[#This Row],[tamanho]]=$I$6,$L$6,0))))*IF(C1624="8_1",9,25))</f>
        <v>4.1971233134645752E-7</v>
      </c>
    </row>
    <row r="1625" spans="1:6" ht="12.75" x14ac:dyDescent="0.2">
      <c r="A1625" s="1">
        <v>67</v>
      </c>
      <c r="B1625" s="1">
        <v>3</v>
      </c>
      <c r="C1625" s="1" t="s">
        <v>5</v>
      </c>
      <c r="D1625" s="1" t="s">
        <v>9</v>
      </c>
      <c r="E1625" s="1">
        <v>3.8564159870147701</v>
      </c>
      <c r="F1625" s="1">
        <f>Tabla1[[#This Row],[tiempo]]/(IF(Tabla1[[#This Row],[tamanho]]=$I$3,$L$3,IF(Tabla1[[#This Row],[tamanho]]=$I$4,$L$4,IF(Tabla1[[#This Row],[tamanho]]=$I$5,$L$5,IF(Tabla1[[#This Row],[tamanho]]=$I$6,$L$6,0))))*IF(C1625="8_1",9,25))</f>
        <v>1.0368724854359518E-6</v>
      </c>
    </row>
    <row r="1626" spans="1:6" ht="12.75" x14ac:dyDescent="0.2">
      <c r="A1626" s="1">
        <v>67</v>
      </c>
      <c r="B1626" s="1">
        <v>3</v>
      </c>
      <c r="C1626" s="1" t="s">
        <v>7</v>
      </c>
      <c r="D1626" s="1" t="s">
        <v>9</v>
      </c>
      <c r="E1626" s="1">
        <v>4.3148415088653502</v>
      </c>
      <c r="F1626" s="1">
        <f>Tabla1[[#This Row],[tiempo]]/(IF(Tabla1[[#This Row],[tamanho]]=$I$3,$L$3,IF(Tabla1[[#This Row],[tamanho]]=$I$4,$L$4,IF(Tabla1[[#This Row],[tamanho]]=$I$5,$L$5,IF(Tabla1[[#This Row],[tamanho]]=$I$6,$L$6,0))))*IF(C1626="8_1",9,25))</f>
        <v>4.1764647892359887E-7</v>
      </c>
    </row>
    <row r="1627" spans="1:6" ht="12.75" x14ac:dyDescent="0.2">
      <c r="A1627" s="1">
        <v>67</v>
      </c>
      <c r="B1627" s="1">
        <v>3</v>
      </c>
      <c r="C1627" s="1" t="s">
        <v>8</v>
      </c>
      <c r="D1627" s="1" t="s">
        <v>9</v>
      </c>
      <c r="E1627" s="1">
        <v>4.3590383529662997</v>
      </c>
      <c r="F1627" s="1">
        <f>Tabla1[[#This Row],[tiempo]]/(IF(Tabla1[[#This Row],[tamanho]]=$I$3,$L$3,IF(Tabla1[[#This Row],[tamanho]]=$I$4,$L$4,IF(Tabla1[[#This Row],[tamanho]]=$I$5,$L$5,IF(Tabla1[[#This Row],[tamanho]]=$I$6,$L$6,0))))*IF(C1627="8_1",9,25))</f>
        <v>4.2192442430823732E-7</v>
      </c>
    </row>
    <row r="1628" spans="1:6" ht="12.75" x14ac:dyDescent="0.2">
      <c r="A1628" s="1">
        <v>67</v>
      </c>
      <c r="B1628" s="1">
        <v>4</v>
      </c>
      <c r="C1628" s="1" t="s">
        <v>5</v>
      </c>
      <c r="D1628" s="1" t="s">
        <v>6</v>
      </c>
      <c r="E1628" s="1">
        <v>6.8639919757843</v>
      </c>
      <c r="F1628" s="1">
        <f>Tabla1[[#This Row],[tiempo]]/(IF(Tabla1[[#This Row],[tamanho]]=$I$3,$L$3,IF(Tabla1[[#This Row],[tamanho]]=$I$4,$L$4,IF(Tabla1[[#This Row],[tamanho]]=$I$5,$L$5,IF(Tabla1[[#This Row],[tamanho]]=$I$6,$L$6,0))))*IF(C1628="8_1",9,25))</f>
        <v>1.0365081075874174E-6</v>
      </c>
    </row>
    <row r="1629" spans="1:6" ht="12.75" x14ac:dyDescent="0.2">
      <c r="A1629" s="1">
        <v>67</v>
      </c>
      <c r="B1629" s="1">
        <v>4</v>
      </c>
      <c r="C1629" s="1" t="s">
        <v>7</v>
      </c>
      <c r="D1629" s="1" t="s">
        <v>6</v>
      </c>
      <c r="E1629" s="1">
        <v>7.7084963321685702</v>
      </c>
      <c r="F1629" s="1">
        <f>Tabla1[[#This Row],[tiempo]]/(IF(Tabla1[[#This Row],[tamanho]]=$I$3,$L$3,IF(Tabla1[[#This Row],[tamanho]]=$I$4,$L$4,IF(Tabla1[[#This Row],[tamanho]]=$I$5,$L$5,IF(Tabla1[[#This Row],[tamanho]]=$I$6,$L$6,0))))*IF(C1629="8_1",9,25))</f>
        <v>4.190521828352736E-7</v>
      </c>
    </row>
    <row r="1630" spans="1:6" ht="12.75" x14ac:dyDescent="0.2">
      <c r="A1630" s="1">
        <v>67</v>
      </c>
      <c r="B1630" s="1">
        <v>4</v>
      </c>
      <c r="C1630" s="1" t="s">
        <v>8</v>
      </c>
      <c r="D1630" s="1" t="s">
        <v>6</v>
      </c>
      <c r="E1630" s="1">
        <v>7.8055739402770996</v>
      </c>
      <c r="F1630" s="1">
        <f>Tabla1[[#This Row],[tiempo]]/(IF(Tabla1[[#This Row],[tamanho]]=$I$3,$L$3,IF(Tabla1[[#This Row],[tamanho]]=$I$4,$L$4,IF(Tabla1[[#This Row],[tamanho]]=$I$5,$L$5,IF(Tabla1[[#This Row],[tamanho]]=$I$6,$L$6,0))))*IF(C1630="8_1",9,25))</f>
        <v>4.2432955235448075E-7</v>
      </c>
    </row>
    <row r="1631" spans="1:6" ht="12.75" x14ac:dyDescent="0.2">
      <c r="A1631" s="1">
        <v>67</v>
      </c>
      <c r="B1631" s="1">
        <v>4</v>
      </c>
      <c r="C1631" s="1" t="s">
        <v>5</v>
      </c>
      <c r="D1631" s="1" t="s">
        <v>9</v>
      </c>
      <c r="E1631" s="1">
        <v>6.9502599239349303</v>
      </c>
      <c r="F1631" s="1">
        <f>Tabla1[[#This Row],[tiempo]]/(IF(Tabla1[[#This Row],[tamanho]]=$I$3,$L$3,IF(Tabla1[[#This Row],[tamanho]]=$I$4,$L$4,IF(Tabla1[[#This Row],[tamanho]]=$I$5,$L$5,IF(Tabla1[[#This Row],[tamanho]]=$I$6,$L$6,0))))*IF(C1631="8_1",9,25))</f>
        <v>1.0495351373389844E-6</v>
      </c>
    </row>
    <row r="1632" spans="1:6" ht="12.75" x14ac:dyDescent="0.2">
      <c r="A1632" s="1">
        <v>67</v>
      </c>
      <c r="B1632" s="1">
        <v>4</v>
      </c>
      <c r="C1632" s="1" t="s">
        <v>7</v>
      </c>
      <c r="D1632" s="1" t="s">
        <v>9</v>
      </c>
      <c r="E1632" s="1">
        <v>7.7595899105072004</v>
      </c>
      <c r="F1632" s="1">
        <f>Tabla1[[#This Row],[tiempo]]/(IF(Tabla1[[#This Row],[tamanho]]=$I$3,$L$3,IF(Tabla1[[#This Row],[tamanho]]=$I$4,$L$4,IF(Tabla1[[#This Row],[tamanho]]=$I$5,$L$5,IF(Tabla1[[#This Row],[tamanho]]=$I$6,$L$6,0))))*IF(C1632="8_1",9,25))</f>
        <v>4.2182975119738304E-7</v>
      </c>
    </row>
    <row r="1633" spans="1:6" ht="12.75" x14ac:dyDescent="0.2">
      <c r="A1633" s="1">
        <v>67</v>
      </c>
      <c r="B1633" s="1">
        <v>4</v>
      </c>
      <c r="C1633" s="1" t="s">
        <v>8</v>
      </c>
      <c r="D1633" s="1" t="s">
        <v>9</v>
      </c>
      <c r="E1633" s="1">
        <v>7.7754182815551696</v>
      </c>
      <c r="F1633" s="1">
        <f>Tabla1[[#This Row],[tiempo]]/(IF(Tabla1[[#This Row],[tamanho]]=$I$3,$L$3,IF(Tabla1[[#This Row],[tamanho]]=$I$4,$L$4,IF(Tabla1[[#This Row],[tamanho]]=$I$5,$L$5,IF(Tabla1[[#This Row],[tamanho]]=$I$6,$L$6,0))))*IF(C1633="8_1",9,25))</f>
        <v>4.226902190697874E-7</v>
      </c>
    </row>
    <row r="1634" spans="1:6" ht="12.75" x14ac:dyDescent="0.2">
      <c r="A1634" s="1">
        <v>68</v>
      </c>
      <c r="B1634" s="1">
        <v>1</v>
      </c>
      <c r="C1634" s="1" t="s">
        <v>5</v>
      </c>
      <c r="D1634" s="1" t="s">
        <v>6</v>
      </c>
      <c r="E1634" s="1">
        <v>0.409541845321655</v>
      </c>
      <c r="F1634" s="1">
        <f>Tabla1[[#This Row],[tiempo]]/(IF(Tabla1[[#This Row],[tamanho]]=$I$3,$L$3,IF(Tabla1[[#This Row],[tamanho]]=$I$4,$L$4,IF(Tabla1[[#This Row],[tamanho]]=$I$5,$L$5,IF(Tabla1[[#This Row],[tamanho]]=$I$6,$L$6,0))))*IF(C1634="8_1",9,25))</f>
        <v>1.6877953147206665E-6</v>
      </c>
    </row>
    <row r="1635" spans="1:6" ht="12.75" x14ac:dyDescent="0.2">
      <c r="A1635" s="1">
        <v>68</v>
      </c>
      <c r="B1635" s="1">
        <v>1</v>
      </c>
      <c r="C1635" s="1" t="s">
        <v>7</v>
      </c>
      <c r="D1635" s="1" t="s">
        <v>6</v>
      </c>
      <c r="E1635" s="1">
        <v>0.45902061462402299</v>
      </c>
      <c r="F1635" s="1">
        <f>Tabla1[[#This Row],[tiempo]]/(IF(Tabla1[[#This Row],[tamanho]]=$I$3,$L$3,IF(Tabla1[[#This Row],[tamanho]]=$I$4,$L$4,IF(Tabla1[[#This Row],[tamanho]]=$I$5,$L$5,IF(Tabla1[[#This Row],[tamanho]]=$I$6,$L$6,0))))*IF(C1635="8_1",9,25))</f>
        <v>6.8101422740109494E-7</v>
      </c>
    </row>
    <row r="1636" spans="1:6" ht="12.75" x14ac:dyDescent="0.2">
      <c r="A1636" s="1">
        <v>68</v>
      </c>
      <c r="B1636" s="1">
        <v>1</v>
      </c>
      <c r="C1636" s="1" t="s">
        <v>8</v>
      </c>
      <c r="D1636" s="1" t="s">
        <v>6</v>
      </c>
      <c r="E1636" s="1">
        <v>0.45879364013671797</v>
      </c>
      <c r="F1636" s="1">
        <f>Tabla1[[#This Row],[tiempo]]/(IF(Tabla1[[#This Row],[tamanho]]=$I$3,$L$3,IF(Tabla1[[#This Row],[tamanho]]=$I$4,$L$4,IF(Tabla1[[#This Row],[tamanho]]=$I$5,$L$5,IF(Tabla1[[#This Row],[tamanho]]=$I$6,$L$6,0))))*IF(C1636="8_1",9,25))</f>
        <v>6.8067748249207072E-7</v>
      </c>
    </row>
    <row r="1637" spans="1:6" ht="12.75" x14ac:dyDescent="0.2">
      <c r="A1637" s="1">
        <v>68</v>
      </c>
      <c r="B1637" s="1">
        <v>1</v>
      </c>
      <c r="C1637" s="1" t="s">
        <v>5</v>
      </c>
      <c r="D1637" s="1" t="s">
        <v>9</v>
      </c>
      <c r="E1637" s="1">
        <v>0.40824127197265597</v>
      </c>
      <c r="F1637" s="1">
        <f>Tabla1[[#This Row],[tiempo]]/(IF(Tabla1[[#This Row],[tamanho]]=$I$3,$L$3,IF(Tabla1[[#This Row],[tamanho]]=$I$4,$L$4,IF(Tabla1[[#This Row],[tamanho]]=$I$5,$L$5,IF(Tabla1[[#This Row],[tamanho]]=$I$6,$L$6,0))))*IF(C1637="8_1",9,25))</f>
        <v>1.6824354189494125E-6</v>
      </c>
    </row>
    <row r="1638" spans="1:6" ht="12.75" x14ac:dyDescent="0.2">
      <c r="A1638" s="1">
        <v>68</v>
      </c>
      <c r="B1638" s="1">
        <v>1</v>
      </c>
      <c r="C1638" s="1" t="s">
        <v>7</v>
      </c>
      <c r="D1638" s="1" t="s">
        <v>9</v>
      </c>
      <c r="E1638" s="1">
        <v>0.45600962638854903</v>
      </c>
      <c r="F1638" s="1">
        <f>Tabla1[[#This Row],[tiempo]]/(IF(Tabla1[[#This Row],[tamanho]]=$I$3,$L$3,IF(Tabla1[[#This Row],[tamanho]]=$I$4,$L$4,IF(Tabla1[[#This Row],[tamanho]]=$I$5,$L$5,IF(Tabla1[[#This Row],[tamanho]]=$I$6,$L$6,0))))*IF(C1638="8_1",9,25))</f>
        <v>6.7654705150187168E-7</v>
      </c>
    </row>
    <row r="1639" spans="1:6" ht="12.75" x14ac:dyDescent="0.2">
      <c r="A1639" s="1">
        <v>68</v>
      </c>
      <c r="B1639" s="1">
        <v>1</v>
      </c>
      <c r="C1639" s="1" t="s">
        <v>8</v>
      </c>
      <c r="D1639" s="1" t="s">
        <v>9</v>
      </c>
      <c r="E1639" s="1">
        <v>0.469320058822631</v>
      </c>
      <c r="F1639" s="1">
        <f>Tabla1[[#This Row],[tiempo]]/(IF(Tabla1[[#This Row],[tamanho]]=$I$3,$L$3,IF(Tabla1[[#This Row],[tamanho]]=$I$4,$L$4,IF(Tabla1[[#This Row],[tamanho]]=$I$5,$L$5,IF(Tabla1[[#This Row],[tamanho]]=$I$6,$L$6,0))))*IF(C1639="8_1",9,25))</f>
        <v>6.9629473509533183E-7</v>
      </c>
    </row>
    <row r="1640" spans="1:6" ht="12.75" x14ac:dyDescent="0.2">
      <c r="A1640" s="1">
        <v>68</v>
      </c>
      <c r="B1640" s="1">
        <v>2</v>
      </c>
      <c r="C1640" s="1" t="s">
        <v>5</v>
      </c>
      <c r="D1640" s="1" t="s">
        <v>6</v>
      </c>
      <c r="E1640" s="1">
        <v>1.6850721836089999</v>
      </c>
      <c r="F1640" s="1">
        <f>Tabla1[[#This Row],[tiempo]]/(IF(Tabla1[[#This Row],[tamanho]]=$I$3,$L$3,IF(Tabla1[[#This Row],[tamanho]]=$I$4,$L$4,IF(Tabla1[[#This Row],[tamanho]]=$I$5,$L$5,IF(Tabla1[[#This Row],[tamanho]]=$I$6,$L$6,0))))*IF(C1640="8_1",9,25))</f>
        <v>1.0202059841502502E-6</v>
      </c>
    </row>
    <row r="1641" spans="1:6" ht="12.75" x14ac:dyDescent="0.2">
      <c r="A1641" s="1">
        <v>68</v>
      </c>
      <c r="B1641" s="1">
        <v>2</v>
      </c>
      <c r="C1641" s="1" t="s">
        <v>7</v>
      </c>
      <c r="D1641" s="1" t="s">
        <v>6</v>
      </c>
      <c r="E1641" s="1">
        <v>1.8925304412841699</v>
      </c>
      <c r="F1641" s="1">
        <f>Tabla1[[#This Row],[tiempo]]/(IF(Tabla1[[#This Row],[tamanho]]=$I$3,$L$3,IF(Tabla1[[#This Row],[tamanho]]=$I$4,$L$4,IF(Tabla1[[#This Row],[tamanho]]=$I$5,$L$5,IF(Tabla1[[#This Row],[tamanho]]=$I$6,$L$6,0))))*IF(C1641="8_1",9,25))</f>
        <v>4.1249124165695008E-7</v>
      </c>
    </row>
    <row r="1642" spans="1:6" ht="12.75" x14ac:dyDescent="0.2">
      <c r="A1642" s="1">
        <v>68</v>
      </c>
      <c r="B1642" s="1">
        <v>2</v>
      </c>
      <c r="C1642" s="1" t="s">
        <v>8</v>
      </c>
      <c r="D1642" s="1" t="s">
        <v>6</v>
      </c>
      <c r="E1642" s="1">
        <v>1.9005069732666</v>
      </c>
      <c r="F1642" s="1">
        <f>Tabla1[[#This Row],[tiempo]]/(IF(Tabla1[[#This Row],[tamanho]]=$I$3,$L$3,IF(Tabla1[[#This Row],[tamanho]]=$I$4,$L$4,IF(Tabla1[[#This Row],[tamanho]]=$I$5,$L$5,IF(Tabla1[[#This Row],[tamanho]]=$I$6,$L$6,0))))*IF(C1642="8_1",9,25))</f>
        <v>4.1422978678667406E-7</v>
      </c>
    </row>
    <row r="1643" spans="1:6" ht="12.75" x14ac:dyDescent="0.2">
      <c r="A1643" s="1">
        <v>68</v>
      </c>
      <c r="B1643" s="1">
        <v>2</v>
      </c>
      <c r="C1643" s="1" t="s">
        <v>5</v>
      </c>
      <c r="D1643" s="1" t="s">
        <v>9</v>
      </c>
      <c r="E1643" s="1">
        <v>1.71047663688659</v>
      </c>
      <c r="F1643" s="1">
        <f>Tabla1[[#This Row],[tiempo]]/(IF(Tabla1[[#This Row],[tamanho]]=$I$3,$L$3,IF(Tabla1[[#This Row],[tamanho]]=$I$4,$L$4,IF(Tabla1[[#This Row],[tamanho]]=$I$5,$L$5,IF(Tabla1[[#This Row],[tamanho]]=$I$6,$L$6,0))))*IF(C1643="8_1",9,25))</f>
        <v>1.0355867942484583E-6</v>
      </c>
    </row>
    <row r="1644" spans="1:6" ht="12.75" x14ac:dyDescent="0.2">
      <c r="A1644" s="1">
        <v>68</v>
      </c>
      <c r="B1644" s="1">
        <v>2</v>
      </c>
      <c r="C1644" s="1" t="s">
        <v>7</v>
      </c>
      <c r="D1644" s="1" t="s">
        <v>9</v>
      </c>
      <c r="E1644" s="1">
        <v>1.8902735710144001</v>
      </c>
      <c r="F1644" s="1">
        <f>Tabla1[[#This Row],[tiempo]]/(IF(Tabla1[[#This Row],[tamanho]]=$I$3,$L$3,IF(Tabla1[[#This Row],[tamanho]]=$I$4,$L$4,IF(Tabla1[[#This Row],[tamanho]]=$I$5,$L$5,IF(Tabla1[[#This Row],[tamanho]]=$I$6,$L$6,0))))*IF(C1644="8_1",9,25))</f>
        <v>4.1199933980981026E-7</v>
      </c>
    </row>
    <row r="1645" spans="1:6" ht="12.75" x14ac:dyDescent="0.2">
      <c r="A1645" s="1">
        <v>68</v>
      </c>
      <c r="B1645" s="1">
        <v>2</v>
      </c>
      <c r="C1645" s="1" t="s">
        <v>8</v>
      </c>
      <c r="D1645" s="1" t="s">
        <v>9</v>
      </c>
      <c r="E1645" s="1">
        <v>1.92668104171752</v>
      </c>
      <c r="F1645" s="1">
        <f>Tabla1[[#This Row],[tiempo]]/(IF(Tabla1[[#This Row],[tamanho]]=$I$3,$L$3,IF(Tabla1[[#This Row],[tamanho]]=$I$4,$L$4,IF(Tabla1[[#This Row],[tamanho]]=$I$5,$L$5,IF(Tabla1[[#This Row],[tamanho]]=$I$6,$L$6,0))))*IF(C1645="8_1",9,25))</f>
        <v>4.199346218366234E-7</v>
      </c>
    </row>
    <row r="1646" spans="1:6" ht="12.75" x14ac:dyDescent="0.2">
      <c r="A1646" s="1">
        <v>68</v>
      </c>
      <c r="B1646" s="1">
        <v>3</v>
      </c>
      <c r="C1646" s="1" t="s">
        <v>5</v>
      </c>
      <c r="D1646" s="1" t="s">
        <v>6</v>
      </c>
      <c r="E1646" s="1">
        <v>3.86166095733642</v>
      </c>
      <c r="F1646" s="1">
        <f>Tabla1[[#This Row],[tiempo]]/(IF(Tabla1[[#This Row],[tamanho]]=$I$3,$L$3,IF(Tabla1[[#This Row],[tamanho]]=$I$4,$L$4,IF(Tabla1[[#This Row],[tamanho]]=$I$5,$L$5,IF(Tabla1[[#This Row],[tamanho]]=$I$6,$L$6,0))))*IF(C1646="8_1",9,25))</f>
        <v>1.0382826977760517E-6</v>
      </c>
    </row>
    <row r="1647" spans="1:6" ht="12.75" x14ac:dyDescent="0.2">
      <c r="A1647" s="1">
        <v>68</v>
      </c>
      <c r="B1647" s="1">
        <v>3</v>
      </c>
      <c r="C1647" s="1" t="s">
        <v>7</v>
      </c>
      <c r="D1647" s="1" t="s">
        <v>6</v>
      </c>
      <c r="E1647" s="1">
        <v>4.3221733570098797</v>
      </c>
      <c r="F1647" s="1">
        <f>Tabla1[[#This Row],[tiempo]]/(IF(Tabla1[[#This Row],[tamanho]]=$I$3,$L$3,IF(Tabla1[[#This Row],[tamanho]]=$I$4,$L$4,IF(Tabla1[[#This Row],[tamanho]]=$I$5,$L$5,IF(Tabla1[[#This Row],[tamanho]]=$I$6,$L$6,0))))*IF(C1647="8_1",9,25))</f>
        <v>4.1835615054311811E-7</v>
      </c>
    </row>
    <row r="1648" spans="1:6" ht="12.75" x14ac:dyDescent="0.2">
      <c r="A1648" s="1">
        <v>68</v>
      </c>
      <c r="B1648" s="1">
        <v>3</v>
      </c>
      <c r="C1648" s="1" t="s">
        <v>8</v>
      </c>
      <c r="D1648" s="1" t="s">
        <v>6</v>
      </c>
      <c r="E1648" s="1">
        <v>4.3645963668823198</v>
      </c>
      <c r="F1648" s="1">
        <f>Tabla1[[#This Row],[tiempo]]/(IF(Tabla1[[#This Row],[tamanho]]=$I$3,$L$3,IF(Tabla1[[#This Row],[tamanho]]=$I$4,$L$4,IF(Tabla1[[#This Row],[tamanho]]=$I$5,$L$5,IF(Tabla1[[#This Row],[tamanho]]=$I$6,$L$6,0))))*IF(C1648="8_1",9,25))</f>
        <v>4.224624011810992E-7</v>
      </c>
    </row>
    <row r="1649" spans="1:6" ht="12.75" x14ac:dyDescent="0.2">
      <c r="A1649" s="1">
        <v>68</v>
      </c>
      <c r="B1649" s="1">
        <v>3</v>
      </c>
      <c r="C1649" s="1" t="s">
        <v>5</v>
      </c>
      <c r="D1649" s="1" t="s">
        <v>9</v>
      </c>
      <c r="E1649" s="1">
        <v>3.87218022346496</v>
      </c>
      <c r="F1649" s="1">
        <f>Tabla1[[#This Row],[tiempo]]/(IF(Tabla1[[#This Row],[tamanho]]=$I$3,$L$3,IF(Tabla1[[#This Row],[tamanho]]=$I$4,$L$4,IF(Tabla1[[#This Row],[tamanho]]=$I$5,$L$5,IF(Tabla1[[#This Row],[tamanho]]=$I$6,$L$6,0))))*IF(C1649="8_1",9,25))</f>
        <v>1.0411110071836434E-6</v>
      </c>
    </row>
    <row r="1650" spans="1:6" ht="12.75" x14ac:dyDescent="0.2">
      <c r="A1650" s="1">
        <v>68</v>
      </c>
      <c r="B1650" s="1">
        <v>3</v>
      </c>
      <c r="C1650" s="1" t="s">
        <v>7</v>
      </c>
      <c r="D1650" s="1" t="s">
        <v>9</v>
      </c>
      <c r="E1650" s="1">
        <v>4.3351335525512598</v>
      </c>
      <c r="F1650" s="1">
        <f>Tabla1[[#This Row],[tiempo]]/(IF(Tabla1[[#This Row],[tamanho]]=$I$3,$L$3,IF(Tabla1[[#This Row],[tamanho]]=$I$4,$L$4,IF(Tabla1[[#This Row],[tamanho]]=$I$5,$L$5,IF(Tabla1[[#This Row],[tamanho]]=$I$6,$L$6,0))))*IF(C1650="8_1",9,25))</f>
        <v>4.1961060682451279E-7</v>
      </c>
    </row>
    <row r="1651" spans="1:6" ht="12.75" x14ac:dyDescent="0.2">
      <c r="A1651" s="1">
        <v>68</v>
      </c>
      <c r="B1651" s="1">
        <v>3</v>
      </c>
      <c r="C1651" s="1" t="s">
        <v>8</v>
      </c>
      <c r="D1651" s="1" t="s">
        <v>9</v>
      </c>
      <c r="E1651" s="1">
        <v>4.4078798294067303</v>
      </c>
      <c r="F1651" s="1">
        <f>Tabla1[[#This Row],[tiempo]]/(IF(Tabla1[[#This Row],[tamanho]]=$I$3,$L$3,IF(Tabla1[[#This Row],[tamanho]]=$I$4,$L$4,IF(Tabla1[[#This Row],[tamanho]]=$I$5,$L$5,IF(Tabla1[[#This Row],[tamanho]]=$I$6,$L$6,0))))*IF(C1651="8_1",9,25))</f>
        <v>4.2665193761755924E-7</v>
      </c>
    </row>
    <row r="1652" spans="1:6" ht="12.75" x14ac:dyDescent="0.2">
      <c r="A1652" s="1">
        <v>68</v>
      </c>
      <c r="B1652" s="1">
        <v>4</v>
      </c>
      <c r="C1652" s="1" t="s">
        <v>5</v>
      </c>
      <c r="D1652" s="1" t="s">
        <v>6</v>
      </c>
      <c r="E1652" s="1">
        <v>6.9655830860137904</v>
      </c>
      <c r="F1652" s="1">
        <f>Tabla1[[#This Row],[tiempo]]/(IF(Tabla1[[#This Row],[tamanho]]=$I$3,$L$3,IF(Tabla1[[#This Row],[tamanho]]=$I$4,$L$4,IF(Tabla1[[#This Row],[tamanho]]=$I$5,$L$5,IF(Tabla1[[#This Row],[tamanho]]=$I$6,$L$6,0))))*IF(C1652="8_1",9,25))</f>
        <v>1.0518490359834827E-6</v>
      </c>
    </row>
    <row r="1653" spans="1:6" ht="12.75" x14ac:dyDescent="0.2">
      <c r="A1653" s="1">
        <v>68</v>
      </c>
      <c r="B1653" s="1">
        <v>4</v>
      </c>
      <c r="C1653" s="1" t="s">
        <v>7</v>
      </c>
      <c r="D1653" s="1" t="s">
        <v>6</v>
      </c>
      <c r="E1653" s="1">
        <v>7.7401645183563197</v>
      </c>
      <c r="F1653" s="1">
        <f>Tabla1[[#This Row],[tiempo]]/(IF(Tabla1[[#This Row],[tamanho]]=$I$3,$L$3,IF(Tabla1[[#This Row],[tamanho]]=$I$4,$L$4,IF(Tabla1[[#This Row],[tamanho]]=$I$5,$L$5,IF(Tabla1[[#This Row],[tamanho]]=$I$6,$L$6,0))))*IF(C1653="8_1",9,25))</f>
        <v>4.207737407081145E-7</v>
      </c>
    </row>
    <row r="1654" spans="1:6" ht="12.75" x14ac:dyDescent="0.2">
      <c r="A1654" s="1">
        <v>68</v>
      </c>
      <c r="B1654" s="1">
        <v>4</v>
      </c>
      <c r="C1654" s="1" t="s">
        <v>8</v>
      </c>
      <c r="D1654" s="1" t="s">
        <v>6</v>
      </c>
      <c r="E1654" s="1">
        <v>7.7677578926086399</v>
      </c>
      <c r="F1654" s="1">
        <f>Tabla1[[#This Row],[tiempo]]/(IF(Tabla1[[#This Row],[tamanho]]=$I$3,$L$3,IF(Tabla1[[#This Row],[tamanho]]=$I$4,$L$4,IF(Tabla1[[#This Row],[tamanho]]=$I$5,$L$5,IF(Tabla1[[#This Row],[tamanho]]=$I$6,$L$6,0))))*IF(C1654="8_1",9,25))</f>
        <v>4.2227378211878122E-7</v>
      </c>
    </row>
    <row r="1655" spans="1:6" ht="12.75" x14ac:dyDescent="0.2">
      <c r="A1655" s="1">
        <v>68</v>
      </c>
      <c r="B1655" s="1">
        <v>4</v>
      </c>
      <c r="C1655" s="1" t="s">
        <v>5</v>
      </c>
      <c r="D1655" s="1" t="s">
        <v>9</v>
      </c>
      <c r="E1655" s="1">
        <v>6.8928523063659597</v>
      </c>
      <c r="F1655" s="1">
        <f>Tabla1[[#This Row],[tiempo]]/(IF(Tabla1[[#This Row],[tamanho]]=$I$3,$L$3,IF(Tabla1[[#This Row],[tamanho]]=$I$4,$L$4,IF(Tabla1[[#This Row],[tamanho]]=$I$5,$L$5,IF(Tabla1[[#This Row],[tamanho]]=$I$6,$L$6,0))))*IF(C1655="8_1",9,25))</f>
        <v>1.0408662080544747E-6</v>
      </c>
    </row>
    <row r="1656" spans="1:6" ht="12.75" x14ac:dyDescent="0.2">
      <c r="A1656" s="1">
        <v>68</v>
      </c>
      <c r="B1656" s="1">
        <v>4</v>
      </c>
      <c r="C1656" s="1" t="s">
        <v>7</v>
      </c>
      <c r="D1656" s="1" t="s">
        <v>9</v>
      </c>
      <c r="E1656" s="1">
        <v>7.77054595947265</v>
      </c>
      <c r="F1656" s="1">
        <f>Tabla1[[#This Row],[tiempo]]/(IF(Tabla1[[#This Row],[tamanho]]=$I$3,$L$3,IF(Tabla1[[#This Row],[tamanho]]=$I$4,$L$4,IF(Tabla1[[#This Row],[tamanho]]=$I$5,$L$5,IF(Tabla1[[#This Row],[tamanho]]=$I$6,$L$6,0))))*IF(C1656="8_1",9,25))</f>
        <v>4.224253480604265E-7</v>
      </c>
    </row>
    <row r="1657" spans="1:6" ht="12.75" x14ac:dyDescent="0.2">
      <c r="A1657" s="1">
        <v>68</v>
      </c>
      <c r="B1657" s="1">
        <v>4</v>
      </c>
      <c r="C1657" s="1" t="s">
        <v>8</v>
      </c>
      <c r="D1657" s="1" t="s">
        <v>9</v>
      </c>
      <c r="E1657" s="1">
        <v>7.8269190788268999</v>
      </c>
      <c r="F1657" s="1">
        <f>Tabla1[[#This Row],[tiempo]]/(IF(Tabla1[[#This Row],[tamanho]]=$I$3,$L$3,IF(Tabla1[[#This Row],[tamanho]]=$I$4,$L$4,IF(Tabla1[[#This Row],[tamanho]]=$I$5,$L$5,IF(Tabla1[[#This Row],[tamanho]]=$I$6,$L$6,0))))*IF(C1657="8_1",9,25))</f>
        <v>4.2548992482101323E-7</v>
      </c>
    </row>
    <row r="1658" spans="1:6" ht="12.75" x14ac:dyDescent="0.2">
      <c r="A1658" s="1">
        <v>69</v>
      </c>
      <c r="B1658" s="1">
        <v>1</v>
      </c>
      <c r="C1658" s="1" t="s">
        <v>5</v>
      </c>
      <c r="D1658" s="1" t="s">
        <v>6</v>
      </c>
      <c r="E1658" s="1">
        <v>0.41464138031005798</v>
      </c>
      <c r="F1658" s="1">
        <f>Tabla1[[#This Row],[tiempo]]/(IF(Tabla1[[#This Row],[tamanho]]=$I$3,$L$3,IF(Tabla1[[#This Row],[tamanho]]=$I$4,$L$4,IF(Tabla1[[#This Row],[tamanho]]=$I$5,$L$5,IF(Tabla1[[#This Row],[tamanho]]=$I$6,$L$6,0))))*IF(C1658="8_1",9,25))</f>
        <v>1.70881141199864E-6</v>
      </c>
    </row>
    <row r="1659" spans="1:6" ht="12.75" x14ac:dyDescent="0.2">
      <c r="A1659" s="1">
        <v>69</v>
      </c>
      <c r="B1659" s="1">
        <v>1</v>
      </c>
      <c r="C1659" s="1" t="s">
        <v>7</v>
      </c>
      <c r="D1659" s="1" t="s">
        <v>6</v>
      </c>
      <c r="E1659" s="1">
        <v>0.46202397346496499</v>
      </c>
      <c r="F1659" s="1">
        <f>Tabla1[[#This Row],[tiempo]]/(IF(Tabla1[[#This Row],[tamanho]]=$I$3,$L$3,IF(Tabla1[[#This Row],[tamanho]]=$I$4,$L$4,IF(Tabla1[[#This Row],[tamanho]]=$I$5,$L$5,IF(Tabla1[[#This Row],[tamanho]]=$I$6,$L$6,0))))*IF(C1659="8_1",9,25))</f>
        <v>6.8547008414371126E-7</v>
      </c>
    </row>
    <row r="1660" spans="1:6" ht="12.75" x14ac:dyDescent="0.2">
      <c r="A1660" s="1">
        <v>69</v>
      </c>
      <c r="B1660" s="1">
        <v>1</v>
      </c>
      <c r="C1660" s="1" t="s">
        <v>8</v>
      </c>
      <c r="D1660" s="1" t="s">
        <v>6</v>
      </c>
      <c r="E1660" s="1">
        <v>0.46796870231628401</v>
      </c>
      <c r="F1660" s="1">
        <f>Tabla1[[#This Row],[tiempo]]/(IF(Tabla1[[#This Row],[tamanho]]=$I$3,$L$3,IF(Tabla1[[#This Row],[tamanho]]=$I$4,$L$4,IF(Tabla1[[#This Row],[tamanho]]=$I$5,$L$5,IF(Tabla1[[#This Row],[tamanho]]=$I$6,$L$6,0))))*IF(C1660="8_1",9,25))</f>
        <v>6.9428982948152375E-7</v>
      </c>
    </row>
    <row r="1661" spans="1:6" ht="12.75" x14ac:dyDescent="0.2">
      <c r="A1661" s="1">
        <v>69</v>
      </c>
      <c r="B1661" s="1">
        <v>1</v>
      </c>
      <c r="C1661" s="1" t="s">
        <v>5</v>
      </c>
      <c r="D1661" s="1" t="s">
        <v>9</v>
      </c>
      <c r="E1661" s="1">
        <v>0.41525053977966297</v>
      </c>
      <c r="F1661" s="1">
        <f>Tabla1[[#This Row],[tiempo]]/(IF(Tabla1[[#This Row],[tamanho]]=$I$3,$L$3,IF(Tabla1[[#This Row],[tamanho]]=$I$4,$L$4,IF(Tabla1[[#This Row],[tamanho]]=$I$5,$L$5,IF(Tabla1[[#This Row],[tamanho]]=$I$6,$L$6,0))))*IF(C1661="8_1",9,25))</f>
        <v>1.7113218673048847E-6</v>
      </c>
    </row>
    <row r="1662" spans="1:6" ht="12.75" x14ac:dyDescent="0.2">
      <c r="A1662" s="1">
        <v>69</v>
      </c>
      <c r="B1662" s="1">
        <v>1</v>
      </c>
      <c r="C1662" s="1" t="s">
        <v>7</v>
      </c>
      <c r="D1662" s="1" t="s">
        <v>9</v>
      </c>
      <c r="E1662" s="1">
        <v>0.47013878822326599</v>
      </c>
      <c r="F1662" s="1">
        <f>Tabla1[[#This Row],[tiempo]]/(IF(Tabla1[[#This Row],[tamanho]]=$I$3,$L$3,IF(Tabla1[[#This Row],[tamanho]]=$I$4,$L$4,IF(Tabla1[[#This Row],[tamanho]]=$I$5,$L$5,IF(Tabla1[[#This Row],[tamanho]]=$I$6,$L$6,0))))*IF(C1662="8_1",9,25))</f>
        <v>6.9750942208859612E-7</v>
      </c>
    </row>
    <row r="1663" spans="1:6" ht="12.75" x14ac:dyDescent="0.2">
      <c r="A1663" s="1">
        <v>69</v>
      </c>
      <c r="B1663" s="1">
        <v>1</v>
      </c>
      <c r="C1663" s="1" t="s">
        <v>8</v>
      </c>
      <c r="D1663" s="1" t="s">
        <v>9</v>
      </c>
      <c r="E1663" s="1">
        <v>0.46961164474487299</v>
      </c>
      <c r="F1663" s="1">
        <f>Tabla1[[#This Row],[tiempo]]/(IF(Tabla1[[#This Row],[tamanho]]=$I$3,$L$3,IF(Tabla1[[#This Row],[tamanho]]=$I$4,$L$4,IF(Tabla1[[#This Row],[tamanho]]=$I$5,$L$5,IF(Tabla1[[#This Row],[tamanho]]=$I$6,$L$6,0))))*IF(C1663="8_1",9,25))</f>
        <v>6.9672733911186235E-7</v>
      </c>
    </row>
    <row r="1664" spans="1:6" ht="12.75" x14ac:dyDescent="0.2">
      <c r="A1664" s="1">
        <v>69</v>
      </c>
      <c r="B1664" s="1">
        <v>2</v>
      </c>
      <c r="C1664" s="1" t="s">
        <v>5</v>
      </c>
      <c r="D1664" s="1" t="s">
        <v>6</v>
      </c>
      <c r="E1664" s="1">
        <v>1.7098760604858301</v>
      </c>
      <c r="F1664" s="1">
        <f>Tabla1[[#This Row],[tiempo]]/(IF(Tabla1[[#This Row],[tamanho]]=$I$3,$L$3,IF(Tabla1[[#This Row],[tamanho]]=$I$4,$L$4,IF(Tabla1[[#This Row],[tamanho]]=$I$5,$L$5,IF(Tabla1[[#This Row],[tamanho]]=$I$6,$L$6,0))))*IF(C1664="8_1",9,25))</f>
        <v>1.0352231827403255E-6</v>
      </c>
    </row>
    <row r="1665" spans="1:6" ht="12.75" x14ac:dyDescent="0.2">
      <c r="A1665" s="1">
        <v>69</v>
      </c>
      <c r="B1665" s="1">
        <v>2</v>
      </c>
      <c r="C1665" s="1" t="s">
        <v>7</v>
      </c>
      <c r="D1665" s="1" t="s">
        <v>6</v>
      </c>
      <c r="E1665" s="1">
        <v>1.8970868587493801</v>
      </c>
      <c r="F1665" s="1">
        <f>Tabla1[[#This Row],[tiempo]]/(IF(Tabla1[[#This Row],[tamanho]]=$I$3,$L$3,IF(Tabla1[[#This Row],[tamanho]]=$I$4,$L$4,IF(Tabla1[[#This Row],[tamanho]]=$I$5,$L$5,IF(Tabla1[[#This Row],[tamanho]]=$I$6,$L$6,0))))*IF(C1665="8_1",9,25))</f>
        <v>4.134843471081135E-7</v>
      </c>
    </row>
    <row r="1666" spans="1:6" ht="12.75" x14ac:dyDescent="0.2">
      <c r="A1666" s="1">
        <v>69</v>
      </c>
      <c r="B1666" s="1">
        <v>2</v>
      </c>
      <c r="C1666" s="1" t="s">
        <v>8</v>
      </c>
      <c r="D1666" s="1" t="s">
        <v>6</v>
      </c>
      <c r="E1666" s="1">
        <v>1.9097645282745299</v>
      </c>
      <c r="F1666" s="1">
        <f>Tabla1[[#This Row],[tiempo]]/(IF(Tabla1[[#This Row],[tamanho]]=$I$3,$L$3,IF(Tabla1[[#This Row],[tamanho]]=$I$4,$L$4,IF(Tabla1[[#This Row],[tamanho]]=$I$5,$L$5,IF(Tabla1[[#This Row],[tamanho]]=$I$6,$L$6,0))))*IF(C1666="8_1",9,25))</f>
        <v>4.1624754051820052E-7</v>
      </c>
    </row>
    <row r="1667" spans="1:6" ht="12.75" x14ac:dyDescent="0.2">
      <c r="A1667" s="1">
        <v>69</v>
      </c>
      <c r="B1667" s="1">
        <v>2</v>
      </c>
      <c r="C1667" s="1" t="s">
        <v>5</v>
      </c>
      <c r="D1667" s="1" t="s">
        <v>9</v>
      </c>
      <c r="E1667" s="1">
        <v>1.7110161781311</v>
      </c>
      <c r="F1667" s="1">
        <f>Tabla1[[#This Row],[tiempo]]/(IF(Tabla1[[#This Row],[tamanho]]=$I$3,$L$3,IF(Tabla1[[#This Row],[tamanho]]=$I$4,$L$4,IF(Tabla1[[#This Row],[tamanho]]=$I$5,$L$5,IF(Tabla1[[#This Row],[tamanho]]=$I$6,$L$6,0))))*IF(C1667="8_1",9,25))</f>
        <v>1.0359134527807746E-6</v>
      </c>
    </row>
    <row r="1668" spans="1:6" ht="12.75" x14ac:dyDescent="0.2">
      <c r="A1668" s="1">
        <v>69</v>
      </c>
      <c r="B1668" s="1">
        <v>2</v>
      </c>
      <c r="C1668" s="1" t="s">
        <v>7</v>
      </c>
      <c r="D1668" s="1" t="s">
        <v>9</v>
      </c>
      <c r="E1668" s="1">
        <v>1.9017257690429601</v>
      </c>
      <c r="F1668" s="1">
        <f>Tabla1[[#This Row],[tiempo]]/(IF(Tabla1[[#This Row],[tamanho]]=$I$3,$L$3,IF(Tabla1[[#This Row],[tamanho]]=$I$4,$L$4,IF(Tabla1[[#This Row],[tamanho]]=$I$5,$L$5,IF(Tabla1[[#This Row],[tamanho]]=$I$6,$L$6,0))))*IF(C1668="8_1",9,25))</f>
        <v>4.1449543249157267E-7</v>
      </c>
    </row>
    <row r="1669" spans="1:6" ht="12.75" x14ac:dyDescent="0.2">
      <c r="A1669" s="1">
        <v>69</v>
      </c>
      <c r="B1669" s="1">
        <v>2</v>
      </c>
      <c r="C1669" s="1" t="s">
        <v>8</v>
      </c>
      <c r="D1669" s="1" t="s">
        <v>9</v>
      </c>
      <c r="E1669" s="1">
        <v>1.91667175292968</v>
      </c>
      <c r="F1669" s="1">
        <f>Tabla1[[#This Row],[tiempo]]/(IF(Tabla1[[#This Row],[tamanho]]=$I$3,$L$3,IF(Tabla1[[#This Row],[tamanho]]=$I$4,$L$4,IF(Tabla1[[#This Row],[tamanho]]=$I$5,$L$5,IF(Tabla1[[#This Row],[tamanho]]=$I$6,$L$6,0))))*IF(C1669="8_1",9,25))</f>
        <v>4.1775302207466786E-7</v>
      </c>
    </row>
    <row r="1670" spans="1:6" ht="12.75" x14ac:dyDescent="0.2">
      <c r="A1670" s="1">
        <v>69</v>
      </c>
      <c r="B1670" s="1">
        <v>3</v>
      </c>
      <c r="C1670" s="1" t="s">
        <v>5</v>
      </c>
      <c r="D1670" s="1" t="s">
        <v>6</v>
      </c>
      <c r="E1670" s="1">
        <v>3.85900378227233</v>
      </c>
      <c r="F1670" s="1">
        <f>Tabla1[[#This Row],[tiempo]]/(IF(Tabla1[[#This Row],[tamanho]]=$I$3,$L$3,IF(Tabla1[[#This Row],[tamanho]]=$I$4,$L$4,IF(Tabla1[[#This Row],[tamanho]]=$I$5,$L$5,IF(Tabla1[[#This Row],[tamanho]]=$I$6,$L$6,0))))*IF(C1670="8_1",9,25))</f>
        <v>1.0375682645504301E-6</v>
      </c>
    </row>
    <row r="1671" spans="1:6" ht="12.75" x14ac:dyDescent="0.2">
      <c r="A1671" s="1">
        <v>69</v>
      </c>
      <c r="B1671" s="1">
        <v>3</v>
      </c>
      <c r="C1671" s="1" t="s">
        <v>7</v>
      </c>
      <c r="D1671" s="1" t="s">
        <v>6</v>
      </c>
      <c r="E1671" s="1">
        <v>4.35648465156555</v>
      </c>
      <c r="F1671" s="1">
        <f>Tabla1[[#This Row],[tiempo]]/(IF(Tabla1[[#This Row],[tamanho]]=$I$3,$L$3,IF(Tabla1[[#This Row],[tamanho]]=$I$4,$L$4,IF(Tabla1[[#This Row],[tamanho]]=$I$5,$L$5,IF(Tabla1[[#This Row],[tamanho]]=$I$6,$L$6,0))))*IF(C1671="8_1",9,25))</f>
        <v>4.216772438739029E-7</v>
      </c>
    </row>
    <row r="1672" spans="1:6" ht="12.75" x14ac:dyDescent="0.2">
      <c r="A1672" s="1">
        <v>69</v>
      </c>
      <c r="B1672" s="1">
        <v>3</v>
      </c>
      <c r="C1672" s="1" t="s">
        <v>8</v>
      </c>
      <c r="D1672" s="1" t="s">
        <v>6</v>
      </c>
      <c r="E1672" s="1">
        <v>4.3763272762298504</v>
      </c>
      <c r="F1672" s="1">
        <f>Tabla1[[#This Row],[tiempo]]/(IF(Tabla1[[#This Row],[tamanho]]=$I$3,$L$3,IF(Tabla1[[#This Row],[tamanho]]=$I$4,$L$4,IF(Tabla1[[#This Row],[tamanho]]=$I$5,$L$5,IF(Tabla1[[#This Row],[tamanho]]=$I$6,$L$6,0))))*IF(C1672="8_1",9,25))</f>
        <v>4.2359787115687973E-7</v>
      </c>
    </row>
    <row r="1673" spans="1:6" ht="12.75" x14ac:dyDescent="0.2">
      <c r="A1673" s="1">
        <v>69</v>
      </c>
      <c r="B1673" s="1">
        <v>3</v>
      </c>
      <c r="C1673" s="1" t="s">
        <v>5</v>
      </c>
      <c r="D1673" s="1" t="s">
        <v>9</v>
      </c>
      <c r="E1673" s="1">
        <v>3.8932332992553702</v>
      </c>
      <c r="F1673" s="1">
        <f>Tabla1[[#This Row],[tiempo]]/(IF(Tabla1[[#This Row],[tamanho]]=$I$3,$L$3,IF(Tabla1[[#This Row],[tamanho]]=$I$4,$L$4,IF(Tabla1[[#This Row],[tamanho]]=$I$5,$L$5,IF(Tabla1[[#This Row],[tamanho]]=$I$6,$L$6,0))))*IF(C1673="8_1",9,25))</f>
        <v>1.0467715363107857E-6</v>
      </c>
    </row>
    <row r="1674" spans="1:6" ht="12.75" x14ac:dyDescent="0.2">
      <c r="A1674" s="1">
        <v>69</v>
      </c>
      <c r="B1674" s="1">
        <v>3</v>
      </c>
      <c r="C1674" s="1" t="s">
        <v>7</v>
      </c>
      <c r="D1674" s="1" t="s">
        <v>9</v>
      </c>
      <c r="E1674" s="1">
        <v>4.3597874641418404</v>
      </c>
      <c r="F1674" s="1">
        <f>Tabla1[[#This Row],[tiempo]]/(IF(Tabla1[[#This Row],[tamanho]]=$I$3,$L$3,IF(Tabla1[[#This Row],[tamanho]]=$I$4,$L$4,IF(Tabla1[[#This Row],[tamanho]]=$I$5,$L$5,IF(Tabla1[[#This Row],[tamanho]]=$I$6,$L$6,0))))*IF(C1674="8_1",9,25))</f>
        <v>4.2199693303054934E-7</v>
      </c>
    </row>
    <row r="1675" spans="1:6" ht="12.75" x14ac:dyDescent="0.2">
      <c r="A1675" s="1">
        <v>69</v>
      </c>
      <c r="B1675" s="1">
        <v>3</v>
      </c>
      <c r="C1675" s="1" t="s">
        <v>8</v>
      </c>
      <c r="D1675" s="1" t="s">
        <v>9</v>
      </c>
      <c r="E1675" s="1">
        <v>4.3942549228668204</v>
      </c>
      <c r="F1675" s="1">
        <f>Tabla1[[#This Row],[tiempo]]/(IF(Tabla1[[#This Row],[tamanho]]=$I$3,$L$3,IF(Tabla1[[#This Row],[tamanho]]=$I$4,$L$4,IF(Tabla1[[#This Row],[tamanho]]=$I$5,$L$5,IF(Tabla1[[#This Row],[tamanho]]=$I$6,$L$6,0))))*IF(C1675="8_1",9,25))</f>
        <v>4.2533314196067012E-7</v>
      </c>
    </row>
    <row r="1676" spans="1:6" ht="12.75" x14ac:dyDescent="0.2">
      <c r="A1676" s="1">
        <v>69</v>
      </c>
      <c r="B1676" s="1">
        <v>4</v>
      </c>
      <c r="C1676" s="1" t="s">
        <v>5</v>
      </c>
      <c r="D1676" s="1" t="s">
        <v>6</v>
      </c>
      <c r="E1676" s="1">
        <v>7.07912254333496</v>
      </c>
      <c r="F1676" s="1">
        <f>Tabla1[[#This Row],[tiempo]]/(IF(Tabla1[[#This Row],[tamanho]]=$I$3,$L$3,IF(Tabla1[[#This Row],[tamanho]]=$I$4,$L$4,IF(Tabla1[[#This Row],[tamanho]]=$I$5,$L$5,IF(Tabla1[[#This Row],[tamanho]]=$I$6,$L$6,0))))*IF(C1676="8_1",9,25))</f>
        <v>1.0689942436788952E-6</v>
      </c>
    </row>
    <row r="1677" spans="1:6" ht="12.75" x14ac:dyDescent="0.2">
      <c r="A1677" s="1">
        <v>69</v>
      </c>
      <c r="B1677" s="1">
        <v>4</v>
      </c>
      <c r="C1677" s="1" t="s">
        <v>7</v>
      </c>
      <c r="D1677" s="1" t="s">
        <v>6</v>
      </c>
      <c r="E1677" s="1">
        <v>7.8360080718994096</v>
      </c>
      <c r="F1677" s="1">
        <f>Tabla1[[#This Row],[tiempo]]/(IF(Tabla1[[#This Row],[tamanho]]=$I$3,$L$3,IF(Tabla1[[#This Row],[tamanho]]=$I$4,$L$4,IF(Tabla1[[#This Row],[tamanho]]=$I$5,$L$5,IF(Tabla1[[#This Row],[tamanho]]=$I$6,$L$6,0))))*IF(C1677="8_1",9,25))</f>
        <v>4.259840240879371E-7</v>
      </c>
    </row>
    <row r="1678" spans="1:6" ht="12.75" x14ac:dyDescent="0.2">
      <c r="A1678" s="1">
        <v>69</v>
      </c>
      <c r="B1678" s="1">
        <v>4</v>
      </c>
      <c r="C1678" s="1" t="s">
        <v>8</v>
      </c>
      <c r="D1678" s="1" t="s">
        <v>6</v>
      </c>
      <c r="E1678" s="1">
        <v>7.9036138057708696</v>
      </c>
      <c r="F1678" s="1">
        <f>Tabla1[[#This Row],[tiempo]]/(IF(Tabla1[[#This Row],[tamanho]]=$I$3,$L$3,IF(Tabla1[[#This Row],[tamanho]]=$I$4,$L$4,IF(Tabla1[[#This Row],[tamanho]]=$I$5,$L$5,IF(Tabla1[[#This Row],[tamanho]]=$I$6,$L$6,0))))*IF(C1678="8_1",9,25))</f>
        <v>4.2965923247232586E-7</v>
      </c>
    </row>
    <row r="1679" spans="1:6" ht="12.75" x14ac:dyDescent="0.2">
      <c r="A1679" s="1">
        <v>69</v>
      </c>
      <c r="B1679" s="1">
        <v>4</v>
      </c>
      <c r="C1679" s="1" t="s">
        <v>5</v>
      </c>
      <c r="D1679" s="1" t="s">
        <v>9</v>
      </c>
      <c r="E1679" s="1">
        <v>7.0713720321655202</v>
      </c>
      <c r="F1679" s="1">
        <f>Tabla1[[#This Row],[tiempo]]/(IF(Tabla1[[#This Row],[tamanho]]=$I$3,$L$3,IF(Tabla1[[#This Row],[tamanho]]=$I$4,$L$4,IF(Tabla1[[#This Row],[tamanho]]=$I$5,$L$5,IF(Tabla1[[#This Row],[tamanho]]=$I$6,$L$6,0))))*IF(C1679="8_1",9,25))</f>
        <v>1.067823865319857E-6</v>
      </c>
    </row>
    <row r="1680" spans="1:6" ht="12.75" x14ac:dyDescent="0.2">
      <c r="A1680" s="1">
        <v>69</v>
      </c>
      <c r="B1680" s="1">
        <v>4</v>
      </c>
      <c r="C1680" s="1" t="s">
        <v>7</v>
      </c>
      <c r="D1680" s="1" t="s">
        <v>9</v>
      </c>
      <c r="E1680" s="1">
        <v>7.9121522903442303</v>
      </c>
      <c r="F1680" s="1">
        <f>Tabla1[[#This Row],[tiempo]]/(IF(Tabla1[[#This Row],[tamanho]]=$I$3,$L$3,IF(Tabla1[[#This Row],[tamanho]]=$I$4,$L$4,IF(Tabla1[[#This Row],[tamanho]]=$I$5,$L$5,IF(Tabla1[[#This Row],[tamanho]]=$I$6,$L$6,0))))*IF(C1680="8_1",9,25))</f>
        <v>4.3012340478873993E-7</v>
      </c>
    </row>
    <row r="1681" spans="1:6" ht="12.75" x14ac:dyDescent="0.2">
      <c r="A1681" s="1">
        <v>69</v>
      </c>
      <c r="B1681" s="1">
        <v>4</v>
      </c>
      <c r="C1681" s="1" t="s">
        <v>8</v>
      </c>
      <c r="D1681" s="1" t="s">
        <v>9</v>
      </c>
      <c r="E1681" s="1">
        <v>7.9240937232971103</v>
      </c>
      <c r="F1681" s="1">
        <f>Tabla1[[#This Row],[tiempo]]/(IF(Tabla1[[#This Row],[tamanho]]=$I$3,$L$3,IF(Tabla1[[#This Row],[tamanho]]=$I$4,$L$4,IF(Tabla1[[#This Row],[tamanho]]=$I$5,$L$5,IF(Tabla1[[#This Row],[tamanho]]=$I$6,$L$6,0))))*IF(C1681="8_1",9,25))</f>
        <v>4.3077256946748573E-7</v>
      </c>
    </row>
    <row r="1682" spans="1:6" ht="12.75" x14ac:dyDescent="0.2">
      <c r="A1682" s="1">
        <v>70</v>
      </c>
      <c r="B1682" s="1">
        <v>1</v>
      </c>
      <c r="C1682" s="1" t="s">
        <v>5</v>
      </c>
      <c r="D1682" s="1" t="s">
        <v>6</v>
      </c>
      <c r="E1682" s="1">
        <v>0.41673016548156699</v>
      </c>
      <c r="F1682" s="1">
        <f>Tabla1[[#This Row],[tiempo]]/(IF(Tabla1[[#This Row],[tamanho]]=$I$3,$L$3,IF(Tabla1[[#This Row],[tamanho]]=$I$4,$L$4,IF(Tabla1[[#This Row],[tamanho]]=$I$5,$L$5,IF(Tabla1[[#This Row],[tamanho]]=$I$6,$L$6,0))))*IF(C1682="8_1",9,25))</f>
        <v>1.7174196699000078E-6</v>
      </c>
    </row>
    <row r="1683" spans="1:6" ht="12.75" x14ac:dyDescent="0.2">
      <c r="A1683" s="1">
        <v>70</v>
      </c>
      <c r="B1683" s="1">
        <v>1</v>
      </c>
      <c r="C1683" s="1" t="s">
        <v>7</v>
      </c>
      <c r="D1683" s="1" t="s">
        <v>6</v>
      </c>
      <c r="E1683" s="1">
        <v>0.46857571601867598</v>
      </c>
      <c r="F1683" s="1">
        <f>Tabla1[[#This Row],[tiempo]]/(IF(Tabla1[[#This Row],[tamanho]]=$I$3,$L$3,IF(Tabla1[[#This Row],[tamanho]]=$I$4,$L$4,IF(Tabla1[[#This Row],[tamanho]]=$I$5,$L$5,IF(Tabla1[[#This Row],[tamanho]]=$I$6,$L$6,0))))*IF(C1683="8_1",9,25))</f>
        <v>6.9519040987897474E-7</v>
      </c>
    </row>
    <row r="1684" spans="1:6" ht="12.75" x14ac:dyDescent="0.2">
      <c r="A1684" s="1">
        <v>70</v>
      </c>
      <c r="B1684" s="1">
        <v>1</v>
      </c>
      <c r="C1684" s="1" t="s">
        <v>8</v>
      </c>
      <c r="D1684" s="1" t="s">
        <v>6</v>
      </c>
      <c r="E1684" s="1">
        <v>0.47373247146606401</v>
      </c>
      <c r="F1684" s="1">
        <f>Tabla1[[#This Row],[tiempo]]/(IF(Tabla1[[#This Row],[tamanho]]=$I$3,$L$3,IF(Tabla1[[#This Row],[tamanho]]=$I$4,$L$4,IF(Tabla1[[#This Row],[tamanho]]=$I$5,$L$5,IF(Tabla1[[#This Row],[tamanho]]=$I$6,$L$6,0))))*IF(C1684="8_1",9,25))</f>
        <v>7.0284109857359004E-7</v>
      </c>
    </row>
    <row r="1685" spans="1:6" ht="12.75" x14ac:dyDescent="0.2">
      <c r="A1685" s="1">
        <v>70</v>
      </c>
      <c r="B1685" s="1">
        <v>1</v>
      </c>
      <c r="C1685" s="1" t="s">
        <v>5</v>
      </c>
      <c r="D1685" s="1" t="s">
        <v>9</v>
      </c>
      <c r="E1685" s="1">
        <v>0.41187191009521401</v>
      </c>
      <c r="F1685" s="1">
        <f>Tabla1[[#This Row],[tiempo]]/(IF(Tabla1[[#This Row],[tamanho]]=$I$3,$L$3,IF(Tabla1[[#This Row],[tamanho]]=$I$4,$L$4,IF(Tabla1[[#This Row],[tamanho]]=$I$5,$L$5,IF(Tabla1[[#This Row],[tamanho]]=$I$6,$L$6,0))))*IF(C1685="8_1",9,25))</f>
        <v>1.6973979290877522E-6</v>
      </c>
    </row>
    <row r="1686" spans="1:6" ht="12.75" x14ac:dyDescent="0.2">
      <c r="A1686" s="1">
        <v>70</v>
      </c>
      <c r="B1686" s="1">
        <v>1</v>
      </c>
      <c r="C1686" s="1" t="s">
        <v>7</v>
      </c>
      <c r="D1686" s="1" t="s">
        <v>9</v>
      </c>
      <c r="E1686" s="1">
        <v>0.46456336975097601</v>
      </c>
      <c r="F1686" s="1">
        <f>Tabla1[[#This Row],[tiempo]]/(IF(Tabla1[[#This Row],[tamanho]]=$I$3,$L$3,IF(Tabla1[[#This Row],[tamanho]]=$I$4,$L$4,IF(Tabla1[[#This Row],[tamanho]]=$I$5,$L$5,IF(Tabla1[[#This Row],[tamanho]]=$I$6,$L$6,0))))*IF(C1686="8_1",9,25))</f>
        <v>6.8923759467523614E-7</v>
      </c>
    </row>
    <row r="1687" spans="1:6" ht="12.75" x14ac:dyDescent="0.2">
      <c r="A1687" s="1">
        <v>70</v>
      </c>
      <c r="B1687" s="1">
        <v>1</v>
      </c>
      <c r="C1687" s="1" t="s">
        <v>8</v>
      </c>
      <c r="D1687" s="1" t="s">
        <v>9</v>
      </c>
      <c r="E1687" s="1">
        <v>0.47211337089538502</v>
      </c>
      <c r="F1687" s="1">
        <f>Tabla1[[#This Row],[tiempo]]/(IF(Tabla1[[#This Row],[tamanho]]=$I$3,$L$3,IF(Tabla1[[#This Row],[tamanho]]=$I$4,$L$4,IF(Tabla1[[#This Row],[tamanho]]=$I$5,$L$5,IF(Tabla1[[#This Row],[tamanho]]=$I$6,$L$6,0))))*IF(C1687="8_1",9,25))</f>
        <v>7.0043896130764436E-7</v>
      </c>
    </row>
    <row r="1688" spans="1:6" ht="12.75" x14ac:dyDescent="0.2">
      <c r="A1688" s="1">
        <v>70</v>
      </c>
      <c r="B1688" s="1">
        <v>2</v>
      </c>
      <c r="C1688" s="1" t="s">
        <v>5</v>
      </c>
      <c r="D1688" s="1" t="s">
        <v>6</v>
      </c>
      <c r="E1688" s="1">
        <v>1.71705222129821</v>
      </c>
      <c r="F1688" s="1">
        <f>Tabla1[[#This Row],[tiempo]]/(IF(Tabla1[[#This Row],[tamanho]]=$I$3,$L$3,IF(Tabla1[[#This Row],[tamanho]]=$I$4,$L$4,IF(Tabla1[[#This Row],[tamanho]]=$I$5,$L$5,IF(Tabla1[[#This Row],[tamanho]]=$I$6,$L$6,0))))*IF(C1688="8_1",9,25))</f>
        <v>1.0395679000024278E-6</v>
      </c>
    </row>
    <row r="1689" spans="1:6" ht="12.75" x14ac:dyDescent="0.2">
      <c r="A1689" s="1">
        <v>70</v>
      </c>
      <c r="B1689" s="1">
        <v>2</v>
      </c>
      <c r="C1689" s="1" t="s">
        <v>7</v>
      </c>
      <c r="D1689" s="1" t="s">
        <v>6</v>
      </c>
      <c r="E1689" s="1">
        <v>1.93939876556396</v>
      </c>
      <c r="F1689" s="1">
        <f>Tabla1[[#This Row],[tiempo]]/(IF(Tabla1[[#This Row],[tamanho]]=$I$3,$L$3,IF(Tabla1[[#This Row],[tamanho]]=$I$4,$L$4,IF(Tabla1[[#This Row],[tamanho]]=$I$5,$L$5,IF(Tabla1[[#This Row],[tamanho]]=$I$6,$L$6,0))))*IF(C1689="8_1",9,25))</f>
        <v>4.2270654538724728E-7</v>
      </c>
    </row>
    <row r="1690" spans="1:6" ht="12.75" x14ac:dyDescent="0.2">
      <c r="A1690" s="1">
        <v>70</v>
      </c>
      <c r="B1690" s="1">
        <v>2</v>
      </c>
      <c r="C1690" s="1" t="s">
        <v>8</v>
      </c>
      <c r="D1690" s="1" t="s">
        <v>6</v>
      </c>
      <c r="E1690" s="1">
        <v>1.9412925243377599</v>
      </c>
      <c r="F1690" s="1">
        <f>Tabla1[[#This Row],[tiempo]]/(IF(Tabla1[[#This Row],[tamanho]]=$I$3,$L$3,IF(Tabla1[[#This Row],[tamanho]]=$I$4,$L$4,IF(Tabla1[[#This Row],[tamanho]]=$I$5,$L$5,IF(Tabla1[[#This Row],[tamanho]]=$I$6,$L$6,0))))*IF(C1690="8_1",9,25))</f>
        <v>4.2311930435321322E-7</v>
      </c>
    </row>
    <row r="1691" spans="1:6" ht="12.75" x14ac:dyDescent="0.2">
      <c r="A1691" s="1">
        <v>70</v>
      </c>
      <c r="B1691" s="1">
        <v>2</v>
      </c>
      <c r="C1691" s="1" t="s">
        <v>5</v>
      </c>
      <c r="D1691" s="1" t="s">
        <v>9</v>
      </c>
      <c r="E1691" s="1">
        <v>1.7210173606872501</v>
      </c>
      <c r="F1691" s="1">
        <f>Tabla1[[#This Row],[tiempo]]/(IF(Tabla1[[#This Row],[tamanho]]=$I$3,$L$3,IF(Tabla1[[#This Row],[tamanho]]=$I$4,$L$4,IF(Tabla1[[#This Row],[tamanho]]=$I$5,$L$5,IF(Tabla1[[#This Row],[tamanho]]=$I$6,$L$6,0))))*IF(C1691="8_1",9,25))</f>
        <v>1.0419685443024392E-6</v>
      </c>
    </row>
    <row r="1692" spans="1:6" ht="12.75" x14ac:dyDescent="0.2">
      <c r="A1692" s="1">
        <v>70</v>
      </c>
      <c r="B1692" s="1">
        <v>2</v>
      </c>
      <c r="C1692" s="1" t="s">
        <v>7</v>
      </c>
      <c r="D1692" s="1" t="s">
        <v>9</v>
      </c>
      <c r="E1692" s="1">
        <v>1.89006948471069</v>
      </c>
      <c r="F1692" s="1">
        <f>Tabla1[[#This Row],[tiempo]]/(IF(Tabla1[[#This Row],[tamanho]]=$I$3,$L$3,IF(Tabla1[[#This Row],[tamanho]]=$I$4,$L$4,IF(Tabla1[[#This Row],[tamanho]]=$I$5,$L$5,IF(Tabla1[[#This Row],[tamanho]]=$I$6,$L$6,0))))*IF(C1692="8_1",9,25))</f>
        <v>4.119548576651715E-7</v>
      </c>
    </row>
    <row r="1693" spans="1:6" ht="12.75" x14ac:dyDescent="0.2">
      <c r="A1693" s="1">
        <v>70</v>
      </c>
      <c r="B1693" s="1">
        <v>2</v>
      </c>
      <c r="C1693" s="1" t="s">
        <v>8</v>
      </c>
      <c r="D1693" s="1" t="s">
        <v>9</v>
      </c>
      <c r="E1693" s="1">
        <v>1.9321916103362999</v>
      </c>
      <c r="F1693" s="1">
        <f>Tabla1[[#This Row],[tiempo]]/(IF(Tabla1[[#This Row],[tamanho]]=$I$3,$L$3,IF(Tabla1[[#This Row],[tamanho]]=$I$4,$L$4,IF(Tabla1[[#This Row],[tamanho]]=$I$5,$L$5,IF(Tabla1[[#This Row],[tamanho]]=$I$6,$L$6,0))))*IF(C1693="8_1",9,25))</f>
        <v>4.2113569170699967E-7</v>
      </c>
    </row>
    <row r="1694" spans="1:6" ht="12.75" x14ac:dyDescent="0.2">
      <c r="A1694" s="1">
        <v>70</v>
      </c>
      <c r="B1694" s="1">
        <v>3</v>
      </c>
      <c r="C1694" s="1" t="s">
        <v>5</v>
      </c>
      <c r="D1694" s="1" t="s">
        <v>6</v>
      </c>
      <c r="E1694" s="1">
        <v>3.86523985862731</v>
      </c>
      <c r="F1694" s="1">
        <f>Tabla1[[#This Row],[tiempo]]/(IF(Tabla1[[#This Row],[tamanho]]=$I$3,$L$3,IF(Tabla1[[#This Row],[tamanho]]=$I$4,$L$4,IF(Tabla1[[#This Row],[tamanho]]=$I$5,$L$5,IF(Tabla1[[#This Row],[tamanho]]=$I$6,$L$6,0))))*IF(C1694="8_1",9,25))</f>
        <v>1.0392449550348925E-6</v>
      </c>
    </row>
    <row r="1695" spans="1:6" ht="12.75" x14ac:dyDescent="0.2">
      <c r="A1695" s="1">
        <v>70</v>
      </c>
      <c r="B1695" s="1">
        <v>3</v>
      </c>
      <c r="C1695" s="1" t="s">
        <v>7</v>
      </c>
      <c r="D1695" s="1" t="s">
        <v>6</v>
      </c>
      <c r="E1695" s="1">
        <v>4.3380091190338099</v>
      </c>
      <c r="F1695" s="1">
        <f>Tabla1[[#This Row],[tiempo]]/(IF(Tabla1[[#This Row],[tamanho]]=$I$3,$L$3,IF(Tabla1[[#This Row],[tamanho]]=$I$4,$L$4,IF(Tabla1[[#This Row],[tamanho]]=$I$5,$L$5,IF(Tabla1[[#This Row],[tamanho]]=$I$6,$L$6,0))))*IF(C1695="8_1",9,25))</f>
        <v>4.1988894154755657E-7</v>
      </c>
    </row>
    <row r="1696" spans="1:6" ht="12.75" x14ac:dyDescent="0.2">
      <c r="A1696" s="1">
        <v>70</v>
      </c>
      <c r="B1696" s="1">
        <v>3</v>
      </c>
      <c r="C1696" s="1" t="s">
        <v>8</v>
      </c>
      <c r="D1696" s="1" t="s">
        <v>6</v>
      </c>
      <c r="E1696" s="1">
        <v>4.3512029647827104</v>
      </c>
      <c r="F1696" s="1">
        <f>Tabla1[[#This Row],[tiempo]]/(IF(Tabla1[[#This Row],[tamanho]]=$I$3,$L$3,IF(Tabla1[[#This Row],[tamanho]]=$I$4,$L$4,IF(Tabla1[[#This Row],[tamanho]]=$I$5,$L$5,IF(Tabla1[[#This Row],[tamanho]]=$I$6,$L$6,0))))*IF(C1696="8_1",9,25))</f>
        <v>4.2116601353482835E-7</v>
      </c>
    </row>
    <row r="1697" spans="1:6" ht="12.75" x14ac:dyDescent="0.2">
      <c r="A1697" s="1">
        <v>70</v>
      </c>
      <c r="B1697" s="1">
        <v>3</v>
      </c>
      <c r="C1697" s="1" t="s">
        <v>5</v>
      </c>
      <c r="D1697" s="1" t="s">
        <v>9</v>
      </c>
      <c r="E1697" s="1">
        <v>3.8609762191772399</v>
      </c>
      <c r="F1697" s="1">
        <f>Tabla1[[#This Row],[tiempo]]/(IF(Tabla1[[#This Row],[tamanho]]=$I$3,$L$3,IF(Tabla1[[#This Row],[tamanho]]=$I$4,$L$4,IF(Tabla1[[#This Row],[tamanho]]=$I$5,$L$5,IF(Tabla1[[#This Row],[tamanho]]=$I$6,$L$6,0))))*IF(C1697="8_1",9,25))</f>
        <v>1.0380985925966901E-6</v>
      </c>
    </row>
    <row r="1698" spans="1:6" ht="12.75" x14ac:dyDescent="0.2">
      <c r="A1698" s="1">
        <v>70</v>
      </c>
      <c r="B1698" s="1">
        <v>3</v>
      </c>
      <c r="C1698" s="1" t="s">
        <v>7</v>
      </c>
      <c r="D1698" s="1" t="s">
        <v>9</v>
      </c>
      <c r="E1698" s="1">
        <v>4.3580856323242099</v>
      </c>
      <c r="F1698" s="1">
        <f>Tabla1[[#This Row],[tiempo]]/(IF(Tabla1[[#This Row],[tamanho]]=$I$3,$L$3,IF(Tabla1[[#This Row],[tamanho]]=$I$4,$L$4,IF(Tabla1[[#This Row],[tamanho]]=$I$5,$L$5,IF(Tabla1[[#This Row],[tamanho]]=$I$6,$L$6,0))))*IF(C1698="8_1",9,25))</f>
        <v>4.2183220761366137E-7</v>
      </c>
    </row>
    <row r="1699" spans="1:6" ht="12.75" x14ac:dyDescent="0.2">
      <c r="A1699" s="1">
        <v>70</v>
      </c>
      <c r="B1699" s="1">
        <v>3</v>
      </c>
      <c r="C1699" s="1" t="s">
        <v>8</v>
      </c>
      <c r="D1699" s="1" t="s">
        <v>9</v>
      </c>
      <c r="E1699" s="1">
        <v>4.37497782707214</v>
      </c>
      <c r="F1699" s="1">
        <f>Tabla1[[#This Row],[tiempo]]/(IF(Tabla1[[#This Row],[tamanho]]=$I$3,$L$3,IF(Tabla1[[#This Row],[tamanho]]=$I$4,$L$4,IF(Tabla1[[#This Row],[tamanho]]=$I$5,$L$5,IF(Tabla1[[#This Row],[tamanho]]=$I$6,$L$6,0))))*IF(C1699="8_1",9,25))</f>
        <v>4.2346725391681513E-7</v>
      </c>
    </row>
    <row r="1700" spans="1:6" ht="12.75" x14ac:dyDescent="0.2">
      <c r="A1700" s="1">
        <v>70</v>
      </c>
      <c r="B1700" s="1">
        <v>4</v>
      </c>
      <c r="C1700" s="1" t="s">
        <v>5</v>
      </c>
      <c r="D1700" s="1" t="s">
        <v>6</v>
      </c>
      <c r="E1700" s="1">
        <v>6.8305099010467503</v>
      </c>
      <c r="F1700" s="1">
        <f>Tabla1[[#This Row],[tiempo]]/(IF(Tabla1[[#This Row],[tamanho]]=$I$3,$L$3,IF(Tabla1[[#This Row],[tamanho]]=$I$4,$L$4,IF(Tabla1[[#This Row],[tamanho]]=$I$5,$L$5,IF(Tabla1[[#This Row],[tamanho]]=$I$6,$L$6,0))))*IF(C1700="8_1",9,25))</f>
        <v>1.0314520932379319E-6</v>
      </c>
    </row>
    <row r="1701" spans="1:6" ht="12.75" x14ac:dyDescent="0.2">
      <c r="A1701" s="1">
        <v>70</v>
      </c>
      <c r="B1701" s="1">
        <v>4</v>
      </c>
      <c r="C1701" s="1" t="s">
        <v>7</v>
      </c>
      <c r="D1701" s="1" t="s">
        <v>6</v>
      </c>
      <c r="E1701" s="1">
        <v>7.6797132492065403</v>
      </c>
      <c r="F1701" s="1">
        <f>Tabla1[[#This Row],[tiempo]]/(IF(Tabla1[[#This Row],[tamanho]]=$I$3,$L$3,IF(Tabla1[[#This Row],[tamanho]]=$I$4,$L$4,IF(Tabla1[[#This Row],[tamanho]]=$I$5,$L$5,IF(Tabla1[[#This Row],[tamanho]]=$I$6,$L$6,0))))*IF(C1701="8_1",9,25))</f>
        <v>4.1748746603134481E-7</v>
      </c>
    </row>
    <row r="1702" spans="1:6" ht="12.75" x14ac:dyDescent="0.2">
      <c r="A1702" s="1">
        <v>70</v>
      </c>
      <c r="B1702" s="1">
        <v>4</v>
      </c>
      <c r="C1702" s="1" t="s">
        <v>8</v>
      </c>
      <c r="D1702" s="1" t="s">
        <v>6</v>
      </c>
      <c r="E1702" s="1">
        <v>7.7338101863861004</v>
      </c>
      <c r="F1702" s="1">
        <f>Tabla1[[#This Row],[tiempo]]/(IF(Tabla1[[#This Row],[tamanho]]=$I$3,$L$3,IF(Tabla1[[#This Row],[tamanho]]=$I$4,$L$4,IF(Tabla1[[#This Row],[tamanho]]=$I$5,$L$5,IF(Tabla1[[#This Row],[tamanho]]=$I$6,$L$6,0))))*IF(C1702="8_1",9,25))</f>
        <v>4.2042830411868938E-7</v>
      </c>
    </row>
    <row r="1703" spans="1:6" ht="12.75" x14ac:dyDescent="0.2">
      <c r="A1703" s="1">
        <v>70</v>
      </c>
      <c r="B1703" s="1">
        <v>4</v>
      </c>
      <c r="C1703" s="1" t="s">
        <v>5</v>
      </c>
      <c r="D1703" s="1" t="s">
        <v>9</v>
      </c>
      <c r="E1703" s="1">
        <v>6.9572992324829102</v>
      </c>
      <c r="F1703" s="1">
        <f>Tabla1[[#This Row],[tiempo]]/(IF(Tabla1[[#This Row],[tamanho]]=$I$3,$L$3,IF(Tabla1[[#This Row],[tamanho]]=$I$4,$L$4,IF(Tabla1[[#This Row],[tamanho]]=$I$5,$L$5,IF(Tabla1[[#This Row],[tamanho]]=$I$6,$L$6,0))))*IF(C1703="8_1",9,25))</f>
        <v>1.0505981194064943E-6</v>
      </c>
    </row>
    <row r="1704" spans="1:6" ht="12.75" x14ac:dyDescent="0.2">
      <c r="A1704" s="1">
        <v>70</v>
      </c>
      <c r="B1704" s="1">
        <v>4</v>
      </c>
      <c r="C1704" s="1" t="s">
        <v>7</v>
      </c>
      <c r="D1704" s="1" t="s">
        <v>9</v>
      </c>
      <c r="E1704" s="1">
        <v>7.9060111045837402</v>
      </c>
      <c r="F1704" s="1">
        <f>Tabla1[[#This Row],[tiempo]]/(IF(Tabla1[[#This Row],[tamanho]]=$I$3,$L$3,IF(Tabla1[[#This Row],[tamanho]]=$I$4,$L$4,IF(Tabla1[[#This Row],[tamanho]]=$I$5,$L$5,IF(Tabla1[[#This Row],[tamanho]]=$I$6,$L$6,0))))*IF(C1704="8_1",9,25))</f>
        <v>4.2978955533389998E-7</v>
      </c>
    </row>
    <row r="1705" spans="1:6" ht="12.75" x14ac:dyDescent="0.2">
      <c r="A1705" s="1">
        <v>70</v>
      </c>
      <c r="B1705" s="1">
        <v>4</v>
      </c>
      <c r="C1705" s="1" t="s">
        <v>8</v>
      </c>
      <c r="D1705" s="1" t="s">
        <v>9</v>
      </c>
      <c r="E1705" s="1">
        <v>7.8603329658508301</v>
      </c>
      <c r="F1705" s="1">
        <f>Tabla1[[#This Row],[tiempo]]/(IF(Tabla1[[#This Row],[tamanho]]=$I$3,$L$3,IF(Tabla1[[#This Row],[tamanho]]=$I$4,$L$4,IF(Tabla1[[#This Row],[tamanho]]=$I$5,$L$5,IF(Tabla1[[#This Row],[tamanho]]=$I$6,$L$6,0))))*IF(C1705="8_1",9,25))</f>
        <v>4.2730638314064118E-7</v>
      </c>
    </row>
    <row r="1706" spans="1:6" ht="12.75" x14ac:dyDescent="0.2">
      <c r="A1706" s="1">
        <v>71</v>
      </c>
      <c r="B1706" s="1">
        <v>1</v>
      </c>
      <c r="C1706" s="1" t="s">
        <v>5</v>
      </c>
      <c r="D1706" s="1" t="s">
        <v>6</v>
      </c>
      <c r="E1706" s="1">
        <v>0.41090345382690402</v>
      </c>
      <c r="F1706" s="1">
        <f>Tabla1[[#This Row],[tiempo]]/(IF(Tabla1[[#This Row],[tamanho]]=$I$3,$L$3,IF(Tabla1[[#This Row],[tamanho]]=$I$4,$L$4,IF(Tabla1[[#This Row],[tamanho]]=$I$5,$L$5,IF(Tabla1[[#This Row],[tamanho]]=$I$6,$L$6,0))))*IF(C1706="8_1",9,25))</f>
        <v>1.6934067473053835E-6</v>
      </c>
    </row>
    <row r="1707" spans="1:6" ht="12.75" x14ac:dyDescent="0.2">
      <c r="A1707" s="1">
        <v>71</v>
      </c>
      <c r="B1707" s="1">
        <v>1</v>
      </c>
      <c r="C1707" s="1" t="s">
        <v>7</v>
      </c>
      <c r="D1707" s="1" t="s">
        <v>6</v>
      </c>
      <c r="E1707" s="1">
        <v>0.461180210113525</v>
      </c>
      <c r="F1707" s="1">
        <f>Tabla1[[#This Row],[tiempo]]/(IF(Tabla1[[#This Row],[tamanho]]=$I$3,$L$3,IF(Tabla1[[#This Row],[tamanho]]=$I$4,$L$4,IF(Tabla1[[#This Row],[tamanho]]=$I$5,$L$5,IF(Tabla1[[#This Row],[tamanho]]=$I$6,$L$6,0))))*IF(C1707="8_1",9,25))</f>
        <v>6.8421825616783502E-7</v>
      </c>
    </row>
    <row r="1708" spans="1:6" ht="12.75" x14ac:dyDescent="0.2">
      <c r="A1708" s="1">
        <v>71</v>
      </c>
      <c r="B1708" s="1">
        <v>1</v>
      </c>
      <c r="C1708" s="1" t="s">
        <v>8</v>
      </c>
      <c r="D1708" s="1" t="s">
        <v>6</v>
      </c>
      <c r="E1708" s="1">
        <v>0.46622347831726002</v>
      </c>
      <c r="F1708" s="1">
        <f>Tabla1[[#This Row],[tiempo]]/(IF(Tabla1[[#This Row],[tamanho]]=$I$3,$L$3,IF(Tabla1[[#This Row],[tamanho]]=$I$4,$L$4,IF(Tabla1[[#This Row],[tamanho]]=$I$5,$L$5,IF(Tabla1[[#This Row],[tamanho]]=$I$6,$L$6,0))))*IF(C1708="8_1",9,25))</f>
        <v>6.9170057240793746E-7</v>
      </c>
    </row>
    <row r="1709" spans="1:6" ht="12.75" x14ac:dyDescent="0.2">
      <c r="A1709" s="1">
        <v>71</v>
      </c>
      <c r="B1709" s="1">
        <v>1</v>
      </c>
      <c r="C1709" s="1" t="s">
        <v>5</v>
      </c>
      <c r="D1709" s="1" t="s">
        <v>9</v>
      </c>
      <c r="E1709" s="1">
        <v>0.40908908843994102</v>
      </c>
      <c r="F1709" s="1">
        <f>Tabla1[[#This Row],[tiempo]]/(IF(Tabla1[[#This Row],[tamanho]]=$I$3,$L$3,IF(Tabla1[[#This Row],[tamanho]]=$I$4,$L$4,IF(Tabla1[[#This Row],[tamanho]]=$I$5,$L$5,IF(Tabla1[[#This Row],[tamanho]]=$I$6,$L$6,0))))*IF(C1709="8_1",9,25))</f>
        <v>1.6859294224989223E-6</v>
      </c>
    </row>
    <row r="1710" spans="1:6" ht="12.75" x14ac:dyDescent="0.2">
      <c r="A1710" s="1">
        <v>71</v>
      </c>
      <c r="B1710" s="1">
        <v>1</v>
      </c>
      <c r="C1710" s="1" t="s">
        <v>7</v>
      </c>
      <c r="D1710" s="1" t="s">
        <v>9</v>
      </c>
      <c r="E1710" s="1">
        <v>0.459521293640136</v>
      </c>
      <c r="F1710" s="1">
        <f>Tabla1[[#This Row],[tiempo]]/(IF(Tabla1[[#This Row],[tamanho]]=$I$3,$L$3,IF(Tabla1[[#This Row],[tamanho]]=$I$4,$L$4,IF(Tabla1[[#This Row],[tamanho]]=$I$5,$L$5,IF(Tabla1[[#This Row],[tamanho]]=$I$6,$L$6,0))))*IF(C1710="8_1",9,25))</f>
        <v>6.8175704705335261E-7</v>
      </c>
    </row>
    <row r="1711" spans="1:6" ht="12.75" x14ac:dyDescent="0.2">
      <c r="A1711" s="1">
        <v>71</v>
      </c>
      <c r="B1711" s="1">
        <v>1</v>
      </c>
      <c r="C1711" s="1" t="s">
        <v>8</v>
      </c>
      <c r="D1711" s="1" t="s">
        <v>9</v>
      </c>
      <c r="E1711" s="1">
        <v>0.46808362007141102</v>
      </c>
      <c r="F1711" s="1">
        <f>Tabla1[[#This Row],[tiempo]]/(IF(Tabla1[[#This Row],[tamanho]]=$I$3,$L$3,IF(Tabla1[[#This Row],[tamanho]]=$I$4,$L$4,IF(Tabla1[[#This Row],[tamanho]]=$I$5,$L$5,IF(Tabla1[[#This Row],[tamanho]]=$I$6,$L$6,0))))*IF(C1711="8_1",9,25))</f>
        <v>6.9446032427789917E-7</v>
      </c>
    </row>
    <row r="1712" spans="1:6" ht="12.75" x14ac:dyDescent="0.2">
      <c r="A1712" s="1">
        <v>71</v>
      </c>
      <c r="B1712" s="1">
        <v>2</v>
      </c>
      <c r="C1712" s="1" t="s">
        <v>5</v>
      </c>
      <c r="D1712" s="1" t="s">
        <v>6</v>
      </c>
      <c r="E1712" s="1">
        <v>1.6863031387329099</v>
      </c>
      <c r="F1712" s="1">
        <f>Tabla1[[#This Row],[tiempo]]/(IF(Tabla1[[#This Row],[tamanho]]=$I$3,$L$3,IF(Tabla1[[#This Row],[tamanho]]=$I$4,$L$4,IF(Tabla1[[#This Row],[tamanho]]=$I$5,$L$5,IF(Tabla1[[#This Row],[tamanho]]=$I$6,$L$6,0))))*IF(C1712="8_1",9,25))</f>
        <v>1.0209512506117401E-6</v>
      </c>
    </row>
    <row r="1713" spans="1:6" ht="12.75" x14ac:dyDescent="0.2">
      <c r="A1713" s="1">
        <v>71</v>
      </c>
      <c r="B1713" s="1">
        <v>2</v>
      </c>
      <c r="C1713" s="1" t="s">
        <v>7</v>
      </c>
      <c r="D1713" s="1" t="s">
        <v>6</v>
      </c>
      <c r="E1713" s="1">
        <v>1.89065337181091</v>
      </c>
      <c r="F1713" s="1">
        <f>Tabla1[[#This Row],[tiempo]]/(IF(Tabla1[[#This Row],[tamanho]]=$I$3,$L$3,IF(Tabla1[[#This Row],[tamanho]]=$I$4,$L$4,IF(Tabla1[[#This Row],[tamanho]]=$I$5,$L$5,IF(Tabla1[[#This Row],[tamanho]]=$I$6,$L$6,0))))*IF(C1713="8_1",9,25))</f>
        <v>4.1208212024954176E-7</v>
      </c>
    </row>
    <row r="1714" spans="1:6" ht="12.75" x14ac:dyDescent="0.2">
      <c r="A1714" s="1">
        <v>71</v>
      </c>
      <c r="B1714" s="1">
        <v>2</v>
      </c>
      <c r="C1714" s="1" t="s">
        <v>8</v>
      </c>
      <c r="D1714" s="1" t="s">
        <v>6</v>
      </c>
      <c r="E1714" s="1">
        <v>1.9222354888916</v>
      </c>
      <c r="F1714" s="1">
        <f>Tabla1[[#This Row],[tiempo]]/(IF(Tabla1[[#This Row],[tamanho]]=$I$3,$L$3,IF(Tabla1[[#This Row],[tamanho]]=$I$4,$L$4,IF(Tabla1[[#This Row],[tamanho]]=$I$5,$L$5,IF(Tabla1[[#This Row],[tamanho]]=$I$6,$L$6,0))))*IF(C1714="8_1",9,25))</f>
        <v>4.189656801673042E-7</v>
      </c>
    </row>
    <row r="1715" spans="1:6" ht="12.75" x14ac:dyDescent="0.2">
      <c r="A1715" s="1">
        <v>71</v>
      </c>
      <c r="B1715" s="1">
        <v>2</v>
      </c>
      <c r="C1715" s="1" t="s">
        <v>5</v>
      </c>
      <c r="D1715" s="1" t="s">
        <v>9</v>
      </c>
      <c r="E1715" s="1">
        <v>1.7070457935333201</v>
      </c>
      <c r="F1715" s="1">
        <f>Tabla1[[#This Row],[tiempo]]/(IF(Tabla1[[#This Row],[tamanho]]=$I$3,$L$3,IF(Tabla1[[#This Row],[tamanho]]=$I$4,$L$4,IF(Tabla1[[#This Row],[tamanho]]=$I$5,$L$5,IF(Tabla1[[#This Row],[tamanho]]=$I$6,$L$6,0))))*IF(C1715="8_1",9,25))</f>
        <v>1.0335096328344045E-6</v>
      </c>
    </row>
    <row r="1716" spans="1:6" ht="12.75" x14ac:dyDescent="0.2">
      <c r="A1716" s="1">
        <v>71</v>
      </c>
      <c r="B1716" s="1">
        <v>2</v>
      </c>
      <c r="C1716" s="1" t="s">
        <v>7</v>
      </c>
      <c r="D1716" s="1" t="s">
        <v>9</v>
      </c>
      <c r="E1716" s="1">
        <v>1.8983409404754601</v>
      </c>
      <c r="F1716" s="1">
        <f>Tabla1[[#This Row],[tiempo]]/(IF(Tabla1[[#This Row],[tamanho]]=$I$3,$L$3,IF(Tabla1[[#This Row],[tamanho]]=$I$4,$L$4,IF(Tabla1[[#This Row],[tamanho]]=$I$5,$L$5,IF(Tabla1[[#This Row],[tamanho]]=$I$6,$L$6,0))))*IF(C1716="8_1",9,25))</f>
        <v>4.1375768365110669E-7</v>
      </c>
    </row>
    <row r="1717" spans="1:6" ht="12.75" x14ac:dyDescent="0.2">
      <c r="A1717" s="1">
        <v>71</v>
      </c>
      <c r="B1717" s="1">
        <v>2</v>
      </c>
      <c r="C1717" s="1" t="s">
        <v>8</v>
      </c>
      <c r="D1717" s="1" t="s">
        <v>9</v>
      </c>
      <c r="E1717" s="1">
        <v>1.95061087608337</v>
      </c>
      <c r="F1717" s="1">
        <f>Tabla1[[#This Row],[tiempo]]/(IF(Tabla1[[#This Row],[tamanho]]=$I$3,$L$3,IF(Tabla1[[#This Row],[tamanho]]=$I$4,$L$4,IF(Tabla1[[#This Row],[tamanho]]=$I$5,$L$5,IF(Tabla1[[#This Row],[tamanho]]=$I$6,$L$6,0))))*IF(C1717="8_1",9,25))</f>
        <v>4.2515030919091337E-7</v>
      </c>
    </row>
    <row r="1718" spans="1:6" ht="12.75" x14ac:dyDescent="0.2">
      <c r="A1718" s="1">
        <v>71</v>
      </c>
      <c r="B1718" s="1">
        <v>3</v>
      </c>
      <c r="C1718" s="1" t="s">
        <v>5</v>
      </c>
      <c r="D1718" s="1" t="s">
        <v>6</v>
      </c>
      <c r="E1718" s="1">
        <v>3.83729767799377</v>
      </c>
      <c r="F1718" s="1">
        <f>Tabla1[[#This Row],[tiempo]]/(IF(Tabla1[[#This Row],[tamanho]]=$I$3,$L$3,IF(Tabla1[[#This Row],[tamanho]]=$I$4,$L$4,IF(Tabla1[[#This Row],[tamanho]]=$I$5,$L$5,IF(Tabla1[[#This Row],[tamanho]]=$I$6,$L$6,0))))*IF(C1718="8_1",9,25))</f>
        <v>1.0317321560060652E-6</v>
      </c>
    </row>
    <row r="1719" spans="1:6" ht="12.75" x14ac:dyDescent="0.2">
      <c r="A1719" s="1">
        <v>71</v>
      </c>
      <c r="B1719" s="1">
        <v>3</v>
      </c>
      <c r="C1719" s="1" t="s">
        <v>7</v>
      </c>
      <c r="D1719" s="1" t="s">
        <v>6</v>
      </c>
      <c r="E1719" s="1">
        <v>4.3285934925079301</v>
      </c>
      <c r="F1719" s="1">
        <f>Tabla1[[#This Row],[tiempo]]/(IF(Tabla1[[#This Row],[tamanho]]=$I$3,$L$3,IF(Tabla1[[#This Row],[tamanho]]=$I$4,$L$4,IF(Tabla1[[#This Row],[tamanho]]=$I$5,$L$5,IF(Tabla1[[#This Row],[tamanho]]=$I$6,$L$6,0))))*IF(C1719="8_1",9,25))</f>
        <v>4.1897757475521584E-7</v>
      </c>
    </row>
    <row r="1720" spans="1:6" ht="12.75" x14ac:dyDescent="0.2">
      <c r="A1720" s="1">
        <v>71</v>
      </c>
      <c r="B1720" s="1">
        <v>3</v>
      </c>
      <c r="C1720" s="1" t="s">
        <v>8</v>
      </c>
      <c r="D1720" s="1" t="s">
        <v>6</v>
      </c>
      <c r="E1720" s="1">
        <v>4.4209682941436697</v>
      </c>
      <c r="F1720" s="1">
        <f>Tabla1[[#This Row],[tiempo]]/(IF(Tabla1[[#This Row],[tamanho]]=$I$3,$L$3,IF(Tabla1[[#This Row],[tamanho]]=$I$4,$L$4,IF(Tabla1[[#This Row],[tamanho]]=$I$5,$L$5,IF(Tabla1[[#This Row],[tamanho]]=$I$6,$L$6,0))))*IF(C1720="8_1",9,25))</f>
        <v>4.2791880945993566E-7</v>
      </c>
    </row>
    <row r="1721" spans="1:6" ht="12.75" x14ac:dyDescent="0.2">
      <c r="A1721" s="1">
        <v>71</v>
      </c>
      <c r="B1721" s="1">
        <v>3</v>
      </c>
      <c r="C1721" s="1" t="s">
        <v>5</v>
      </c>
      <c r="D1721" s="1" t="s">
        <v>9</v>
      </c>
      <c r="E1721" s="1">
        <v>3.86963891983032</v>
      </c>
      <c r="F1721" s="1">
        <f>Tabla1[[#This Row],[tiempo]]/(IF(Tabla1[[#This Row],[tamanho]]=$I$3,$L$3,IF(Tabla1[[#This Row],[tamanho]]=$I$4,$L$4,IF(Tabla1[[#This Row],[tamanho]]=$I$5,$L$5,IF(Tabla1[[#This Row],[tamanho]]=$I$6,$L$6,0))))*IF(C1721="8_1",9,25))</f>
        <v>1.0404277282467318E-6</v>
      </c>
    </row>
    <row r="1722" spans="1:6" ht="12.75" x14ac:dyDescent="0.2">
      <c r="A1722" s="1">
        <v>71</v>
      </c>
      <c r="B1722" s="1">
        <v>3</v>
      </c>
      <c r="C1722" s="1" t="s">
        <v>7</v>
      </c>
      <c r="D1722" s="1" t="s">
        <v>9</v>
      </c>
      <c r="E1722" s="1">
        <v>4.3274023532867396</v>
      </c>
      <c r="F1722" s="1">
        <f>Tabla1[[#This Row],[tiempo]]/(IF(Tabla1[[#This Row],[tamanho]]=$I$3,$L$3,IF(Tabla1[[#This Row],[tamanho]]=$I$4,$L$4,IF(Tabla1[[#This Row],[tamanho]]=$I$5,$L$5,IF(Tabla1[[#This Row],[tamanho]]=$I$6,$L$6,0))))*IF(C1722="8_1",9,25))</f>
        <v>4.1886228080974507E-7</v>
      </c>
    </row>
    <row r="1723" spans="1:6" ht="12.75" x14ac:dyDescent="0.2">
      <c r="A1723" s="1">
        <v>71</v>
      </c>
      <c r="B1723" s="1">
        <v>3</v>
      </c>
      <c r="C1723" s="1" t="s">
        <v>8</v>
      </c>
      <c r="D1723" s="1" t="s">
        <v>9</v>
      </c>
      <c r="E1723" s="1">
        <v>4.4391577243804896</v>
      </c>
      <c r="F1723" s="1">
        <f>Tabla1[[#This Row],[tiempo]]/(IF(Tabla1[[#This Row],[tamanho]]=$I$3,$L$3,IF(Tabla1[[#This Row],[tamanho]]=$I$4,$L$4,IF(Tabla1[[#This Row],[tamanho]]=$I$5,$L$5,IF(Tabla1[[#This Row],[tamanho]]=$I$6,$L$6,0))))*IF(C1723="8_1",9,25))</f>
        <v>4.2967941908520832E-7</v>
      </c>
    </row>
    <row r="1724" spans="1:6" ht="12.75" x14ac:dyDescent="0.2">
      <c r="A1724" s="1">
        <v>71</v>
      </c>
      <c r="B1724" s="1">
        <v>4</v>
      </c>
      <c r="C1724" s="1" t="s">
        <v>5</v>
      </c>
      <c r="D1724" s="1" t="s">
        <v>6</v>
      </c>
      <c r="E1724" s="1">
        <v>6.9053432941436697</v>
      </c>
      <c r="F1724" s="1">
        <f>Tabla1[[#This Row],[tiempo]]/(IF(Tabla1[[#This Row],[tamanho]]=$I$3,$L$3,IF(Tabla1[[#This Row],[tamanho]]=$I$4,$L$4,IF(Tabla1[[#This Row],[tamanho]]=$I$5,$L$5,IF(Tabla1[[#This Row],[tamanho]]=$I$6,$L$6,0))))*IF(C1724="8_1",9,25))</f>
        <v>1.0427524296801771E-6</v>
      </c>
    </row>
    <row r="1725" spans="1:6" ht="12.75" x14ac:dyDescent="0.2">
      <c r="A1725" s="1">
        <v>71</v>
      </c>
      <c r="B1725" s="1">
        <v>4</v>
      </c>
      <c r="C1725" s="1" t="s">
        <v>7</v>
      </c>
      <c r="D1725" s="1" t="s">
        <v>6</v>
      </c>
      <c r="E1725" s="1">
        <v>7.7080528736114502</v>
      </c>
      <c r="F1725" s="1">
        <f>Tabla1[[#This Row],[tiempo]]/(IF(Tabla1[[#This Row],[tamanho]]=$I$3,$L$3,IF(Tabla1[[#This Row],[tamanho]]=$I$4,$L$4,IF(Tabla1[[#This Row],[tamanho]]=$I$5,$L$5,IF(Tabla1[[#This Row],[tamanho]]=$I$6,$L$6,0))))*IF(C1725="8_1",9,25))</f>
        <v>4.1902807537405803E-7</v>
      </c>
    </row>
    <row r="1726" spans="1:6" ht="12.75" x14ac:dyDescent="0.2">
      <c r="A1726" s="1">
        <v>71</v>
      </c>
      <c r="B1726" s="1">
        <v>4</v>
      </c>
      <c r="C1726" s="1" t="s">
        <v>8</v>
      </c>
      <c r="D1726" s="1" t="s">
        <v>6</v>
      </c>
      <c r="E1726" s="1">
        <v>7.7691044807434002</v>
      </c>
      <c r="F1726" s="1">
        <f>Tabla1[[#This Row],[tiempo]]/(IF(Tabla1[[#This Row],[tamanho]]=$I$3,$L$3,IF(Tabla1[[#This Row],[tamanho]]=$I$4,$L$4,IF(Tabla1[[#This Row],[tamanho]]=$I$5,$L$5,IF(Tabla1[[#This Row],[tamanho]]=$I$6,$L$6,0))))*IF(C1726="8_1",9,25))</f>
        <v>4.2234698585047358E-7</v>
      </c>
    </row>
    <row r="1727" spans="1:6" ht="12.75" x14ac:dyDescent="0.2">
      <c r="A1727" s="1">
        <v>71</v>
      </c>
      <c r="B1727" s="1">
        <v>4</v>
      </c>
      <c r="C1727" s="1" t="s">
        <v>5</v>
      </c>
      <c r="D1727" s="1" t="s">
        <v>9</v>
      </c>
      <c r="E1727" s="1">
        <v>6.8876063823699898</v>
      </c>
      <c r="F1727" s="1">
        <f>Tabla1[[#This Row],[tiempo]]/(IF(Tabla1[[#This Row],[tamanho]]=$I$3,$L$3,IF(Tabla1[[#This Row],[tamanho]]=$I$4,$L$4,IF(Tabla1[[#This Row],[tamanho]]=$I$5,$L$5,IF(Tabla1[[#This Row],[tamanho]]=$I$6,$L$6,0))))*IF(C1727="8_1",9,25))</f>
        <v>1.040074038895071E-6</v>
      </c>
    </row>
    <row r="1728" spans="1:6" ht="12.75" x14ac:dyDescent="0.2">
      <c r="A1728" s="1">
        <v>71</v>
      </c>
      <c r="B1728" s="1">
        <v>4</v>
      </c>
      <c r="C1728" s="1" t="s">
        <v>7</v>
      </c>
      <c r="D1728" s="1" t="s">
        <v>9</v>
      </c>
      <c r="E1728" s="1">
        <v>7.7100949287414497</v>
      </c>
      <c r="F1728" s="1">
        <f>Tabla1[[#This Row],[tiempo]]/(IF(Tabla1[[#This Row],[tamanho]]=$I$3,$L$3,IF(Tabla1[[#This Row],[tamanho]]=$I$4,$L$4,IF(Tabla1[[#This Row],[tamanho]]=$I$5,$L$5,IF(Tabla1[[#This Row],[tamanho]]=$I$6,$L$6,0))))*IF(C1728="8_1",9,25))</f>
        <v>4.1913908634465744E-7</v>
      </c>
    </row>
    <row r="1729" spans="1:6" ht="12.75" x14ac:dyDescent="0.2">
      <c r="A1729" s="1">
        <v>71</v>
      </c>
      <c r="B1729" s="1">
        <v>4</v>
      </c>
      <c r="C1729" s="1" t="s">
        <v>8</v>
      </c>
      <c r="D1729" s="1" t="s">
        <v>9</v>
      </c>
      <c r="E1729" s="1">
        <v>7.8798871040344203</v>
      </c>
      <c r="F1729" s="1">
        <f>Tabla1[[#This Row],[tiempo]]/(IF(Tabla1[[#This Row],[tamanho]]=$I$3,$L$3,IF(Tabla1[[#This Row],[tamanho]]=$I$4,$L$4,IF(Tabla1[[#This Row],[tamanho]]=$I$5,$L$5,IF(Tabla1[[#This Row],[tamanho]]=$I$6,$L$6,0))))*IF(C1729="8_1",9,25))</f>
        <v>4.2836939257026243E-7</v>
      </c>
    </row>
    <row r="1730" spans="1:6" ht="12.75" x14ac:dyDescent="0.2">
      <c r="A1730" s="1">
        <v>72</v>
      </c>
      <c r="B1730" s="1">
        <v>1</v>
      </c>
      <c r="C1730" s="1" t="s">
        <v>5</v>
      </c>
      <c r="D1730" s="1" t="s">
        <v>6</v>
      </c>
      <c r="E1730" s="1">
        <v>0.41504502296447698</v>
      </c>
      <c r="F1730" s="1">
        <f>Tabla1[[#This Row],[tiempo]]/(IF(Tabla1[[#This Row],[tamanho]]=$I$3,$L$3,IF(Tabla1[[#This Row],[tamanho]]=$I$4,$L$4,IF(Tabla1[[#This Row],[tamanho]]=$I$5,$L$5,IF(Tabla1[[#This Row],[tamanho]]=$I$6,$L$6,0))))*IF(C1730="8_1",9,25))</f>
        <v>1.7104748956908003E-6</v>
      </c>
    </row>
    <row r="1731" spans="1:6" ht="12.75" x14ac:dyDescent="0.2">
      <c r="A1731" s="1">
        <v>72</v>
      </c>
      <c r="B1731" s="1">
        <v>1</v>
      </c>
      <c r="C1731" s="1" t="s">
        <v>7</v>
      </c>
      <c r="D1731" s="1" t="s">
        <v>6</v>
      </c>
      <c r="E1731" s="1">
        <v>0.46232676506042403</v>
      </c>
      <c r="F1731" s="1">
        <f>Tabla1[[#This Row],[tiempo]]/(IF(Tabla1[[#This Row],[tamanho]]=$I$3,$L$3,IF(Tabla1[[#This Row],[tamanho]]=$I$4,$L$4,IF(Tabla1[[#This Row],[tamanho]]=$I$5,$L$5,IF(Tabla1[[#This Row],[tamanho]]=$I$6,$L$6,0))))*IF(C1731="8_1",9,25))</f>
        <v>6.8591931317150558E-7</v>
      </c>
    </row>
    <row r="1732" spans="1:6" ht="12.75" x14ac:dyDescent="0.2">
      <c r="A1732" s="1">
        <v>72</v>
      </c>
      <c r="B1732" s="1">
        <v>1</v>
      </c>
      <c r="C1732" s="1" t="s">
        <v>8</v>
      </c>
      <c r="D1732" s="1" t="s">
        <v>6</v>
      </c>
      <c r="E1732" s="1">
        <v>0.46377396583557101</v>
      </c>
      <c r="F1732" s="1">
        <f>Tabla1[[#This Row],[tiempo]]/(IF(Tabla1[[#This Row],[tamanho]]=$I$3,$L$3,IF(Tabla1[[#This Row],[tamanho]]=$I$4,$L$4,IF(Tabla1[[#This Row],[tamanho]]=$I$5,$L$5,IF(Tabla1[[#This Row],[tamanho]]=$I$6,$L$6,0))))*IF(C1732="8_1",9,25))</f>
        <v>6.8806641569017617E-7</v>
      </c>
    </row>
    <row r="1733" spans="1:6" ht="12.75" x14ac:dyDescent="0.2">
      <c r="A1733" s="1">
        <v>72</v>
      </c>
      <c r="B1733" s="1">
        <v>1</v>
      </c>
      <c r="C1733" s="1" t="s">
        <v>5</v>
      </c>
      <c r="D1733" s="1" t="s">
        <v>9</v>
      </c>
      <c r="E1733" s="1">
        <v>0.41493678092956499</v>
      </c>
      <c r="F1733" s="1">
        <f>Tabla1[[#This Row],[tiempo]]/(IF(Tabla1[[#This Row],[tamanho]]=$I$3,$L$3,IF(Tabla1[[#This Row],[tamanho]]=$I$4,$L$4,IF(Tabla1[[#This Row],[tamanho]]=$I$5,$L$5,IF(Tabla1[[#This Row],[tamanho]]=$I$6,$L$6,0))))*IF(C1733="8_1",9,25))</f>
        <v>1.7100288108731748E-6</v>
      </c>
    </row>
    <row r="1734" spans="1:6" ht="12.75" x14ac:dyDescent="0.2">
      <c r="A1734" s="1">
        <v>72</v>
      </c>
      <c r="B1734" s="1">
        <v>1</v>
      </c>
      <c r="C1734" s="1" t="s">
        <v>7</v>
      </c>
      <c r="D1734" s="1" t="s">
        <v>9</v>
      </c>
      <c r="E1734" s="1">
        <v>0.46576738357543901</v>
      </c>
      <c r="F1734" s="1">
        <f>Tabla1[[#This Row],[tiempo]]/(IF(Tabla1[[#This Row],[tamanho]]=$I$3,$L$3,IF(Tabla1[[#This Row],[tamanho]]=$I$4,$L$4,IF(Tabla1[[#This Row],[tamanho]]=$I$5,$L$5,IF(Tabla1[[#This Row],[tamanho]]=$I$6,$L$6,0))))*IF(C1734="8_1",9,25))</f>
        <v>6.9102389907709504E-7</v>
      </c>
    </row>
    <row r="1735" spans="1:6" ht="12.75" x14ac:dyDescent="0.2">
      <c r="A1735" s="1">
        <v>72</v>
      </c>
      <c r="B1735" s="1">
        <v>1</v>
      </c>
      <c r="C1735" s="1" t="s">
        <v>8</v>
      </c>
      <c r="D1735" s="1" t="s">
        <v>9</v>
      </c>
      <c r="E1735" s="1">
        <v>0.47017526626586897</v>
      </c>
      <c r="F1735" s="1">
        <f>Tabla1[[#This Row],[tiempo]]/(IF(Tabla1[[#This Row],[tamanho]]=$I$3,$L$3,IF(Tabla1[[#This Row],[tamanho]]=$I$4,$L$4,IF(Tabla1[[#This Row],[tamanho]]=$I$5,$L$5,IF(Tabla1[[#This Row],[tamanho]]=$I$6,$L$6,0))))*IF(C1735="8_1",9,25))</f>
        <v>6.9756354180611839E-7</v>
      </c>
    </row>
    <row r="1736" spans="1:6" ht="12.75" x14ac:dyDescent="0.2">
      <c r="A1736" s="1">
        <v>72</v>
      </c>
      <c r="B1736" s="1">
        <v>2</v>
      </c>
      <c r="C1736" s="1" t="s">
        <v>5</v>
      </c>
      <c r="D1736" s="1" t="s">
        <v>6</v>
      </c>
      <c r="E1736" s="1">
        <v>1.70035624504089</v>
      </c>
      <c r="F1736" s="1">
        <f>Tabla1[[#This Row],[tiempo]]/(IF(Tabla1[[#This Row],[tamanho]]=$I$3,$L$3,IF(Tabla1[[#This Row],[tamanho]]=$I$4,$L$4,IF(Tabla1[[#This Row],[tamanho]]=$I$5,$L$5,IF(Tabla1[[#This Row],[tamanho]]=$I$6,$L$6,0))))*IF(C1736="8_1",9,25))</f>
        <v>1.0294595289459029E-6</v>
      </c>
    </row>
    <row r="1737" spans="1:6" ht="12.75" x14ac:dyDescent="0.2">
      <c r="A1737" s="1">
        <v>72</v>
      </c>
      <c r="B1737" s="1">
        <v>2</v>
      </c>
      <c r="C1737" s="1" t="s">
        <v>7</v>
      </c>
      <c r="D1737" s="1" t="s">
        <v>6</v>
      </c>
      <c r="E1737" s="1">
        <v>1.9050219058990401</v>
      </c>
      <c r="F1737" s="1">
        <f>Tabla1[[#This Row],[tiempo]]/(IF(Tabla1[[#This Row],[tamanho]]=$I$3,$L$3,IF(Tabla1[[#This Row],[tamanho]]=$I$4,$L$4,IF(Tabla1[[#This Row],[tamanho]]=$I$5,$L$5,IF(Tabla1[[#This Row],[tamanho]]=$I$6,$L$6,0))))*IF(C1737="8_1",9,25))</f>
        <v>4.1521385030656601E-7</v>
      </c>
    </row>
    <row r="1738" spans="1:6" ht="12.75" x14ac:dyDescent="0.2">
      <c r="A1738" s="1">
        <v>72</v>
      </c>
      <c r="B1738" s="1">
        <v>2</v>
      </c>
      <c r="C1738" s="1" t="s">
        <v>8</v>
      </c>
      <c r="D1738" s="1" t="s">
        <v>6</v>
      </c>
      <c r="E1738" s="1">
        <v>1.9259047508239699</v>
      </c>
      <c r="F1738" s="1">
        <f>Tabla1[[#This Row],[tiempo]]/(IF(Tabla1[[#This Row],[tamanho]]=$I$3,$L$3,IF(Tabla1[[#This Row],[tamanho]]=$I$4,$L$4,IF(Tabla1[[#This Row],[tamanho]]=$I$5,$L$5,IF(Tabla1[[#This Row],[tamanho]]=$I$6,$L$6,0))))*IF(C1738="8_1",9,25))</f>
        <v>4.1976542339860505E-7</v>
      </c>
    </row>
    <row r="1739" spans="1:6" ht="12.75" x14ac:dyDescent="0.2">
      <c r="A1739" s="1">
        <v>72</v>
      </c>
      <c r="B1739" s="1">
        <v>2</v>
      </c>
      <c r="C1739" s="1" t="s">
        <v>5</v>
      </c>
      <c r="D1739" s="1" t="s">
        <v>9</v>
      </c>
      <c r="E1739" s="1">
        <v>1.7091209888458201</v>
      </c>
      <c r="F1739" s="1">
        <f>Tabla1[[#This Row],[tiempo]]/(IF(Tabla1[[#This Row],[tamanho]]=$I$3,$L$3,IF(Tabla1[[#This Row],[tamanho]]=$I$4,$L$4,IF(Tabla1[[#This Row],[tamanho]]=$I$5,$L$5,IF(Tabla1[[#This Row],[tamanho]]=$I$6,$L$6,0))))*IF(C1739="8_1",9,25))</f>
        <v>1.0347660340121622E-6</v>
      </c>
    </row>
    <row r="1740" spans="1:6" ht="12.75" x14ac:dyDescent="0.2">
      <c r="A1740" s="1">
        <v>72</v>
      </c>
      <c r="B1740" s="1">
        <v>2</v>
      </c>
      <c r="C1740" s="1" t="s">
        <v>7</v>
      </c>
      <c r="D1740" s="1" t="s">
        <v>9</v>
      </c>
      <c r="E1740" s="1">
        <v>1.89992952346801</v>
      </c>
      <c r="F1740" s="1">
        <f>Tabla1[[#This Row],[tiempo]]/(IF(Tabla1[[#This Row],[tamanho]]=$I$3,$L$3,IF(Tabla1[[#This Row],[tamanho]]=$I$4,$L$4,IF(Tabla1[[#This Row],[tamanho]]=$I$5,$L$5,IF(Tabla1[[#This Row],[tamanho]]=$I$6,$L$6,0))))*IF(C1740="8_1",9,25))</f>
        <v>4.1410392726060312E-7</v>
      </c>
    </row>
    <row r="1741" spans="1:6" ht="12.75" x14ac:dyDescent="0.2">
      <c r="A1741" s="1">
        <v>72</v>
      </c>
      <c r="B1741" s="1">
        <v>2</v>
      </c>
      <c r="C1741" s="1" t="s">
        <v>8</v>
      </c>
      <c r="D1741" s="1" t="s">
        <v>9</v>
      </c>
      <c r="E1741" s="1">
        <v>1.93979835510253</v>
      </c>
      <c r="F1741" s="1">
        <f>Tabla1[[#This Row],[tiempo]]/(IF(Tabla1[[#This Row],[tamanho]]=$I$3,$L$3,IF(Tabla1[[#This Row],[tamanho]]=$I$4,$L$4,IF(Tabla1[[#This Row],[tamanho]]=$I$5,$L$5,IF(Tabla1[[#This Row],[tamanho]]=$I$6,$L$6,0))))*IF(C1741="8_1",9,25))</f>
        <v>4.2279363893212366E-7</v>
      </c>
    </row>
    <row r="1742" spans="1:6" ht="12.75" x14ac:dyDescent="0.2">
      <c r="A1742" s="1">
        <v>72</v>
      </c>
      <c r="B1742" s="1">
        <v>3</v>
      </c>
      <c r="C1742" s="1" t="s">
        <v>5</v>
      </c>
      <c r="D1742" s="1" t="s">
        <v>6</v>
      </c>
      <c r="E1742" s="1">
        <v>3.8888306617736799</v>
      </c>
      <c r="F1742" s="1">
        <f>Tabla1[[#This Row],[tiempo]]/(IF(Tabla1[[#This Row],[tamanho]]=$I$3,$L$3,IF(Tabla1[[#This Row],[tamanho]]=$I$4,$L$4,IF(Tabla1[[#This Row],[tamanho]]=$I$5,$L$5,IF(Tabla1[[#This Row],[tamanho]]=$I$6,$L$6,0))))*IF(C1742="8_1",9,25))</f>
        <v>1.0455878015468274E-6</v>
      </c>
    </row>
    <row r="1743" spans="1:6" ht="12.75" x14ac:dyDescent="0.2">
      <c r="A1743" s="1">
        <v>72</v>
      </c>
      <c r="B1743" s="1">
        <v>3</v>
      </c>
      <c r="C1743" s="1" t="s">
        <v>7</v>
      </c>
      <c r="D1743" s="1" t="s">
        <v>6</v>
      </c>
      <c r="E1743" s="1">
        <v>4.3549952507018999</v>
      </c>
      <c r="F1743" s="1">
        <f>Tabla1[[#This Row],[tiempo]]/(IF(Tabla1[[#This Row],[tamanho]]=$I$3,$L$3,IF(Tabla1[[#This Row],[tamanho]]=$I$4,$L$4,IF(Tabla1[[#This Row],[tamanho]]=$I$5,$L$5,IF(Tabla1[[#This Row],[tamanho]]=$I$6,$L$6,0))))*IF(C1743="8_1",9,25))</f>
        <v>4.2153308028756233E-7</v>
      </c>
    </row>
    <row r="1744" spans="1:6" ht="12.75" x14ac:dyDescent="0.2">
      <c r="A1744" s="1">
        <v>72</v>
      </c>
      <c r="B1744" s="1">
        <v>3</v>
      </c>
      <c r="C1744" s="1" t="s">
        <v>8</v>
      </c>
      <c r="D1744" s="1" t="s">
        <v>6</v>
      </c>
      <c r="E1744" s="1">
        <v>4.3878533840179399</v>
      </c>
      <c r="F1744" s="1">
        <f>Tabla1[[#This Row],[tiempo]]/(IF(Tabla1[[#This Row],[tamanho]]=$I$3,$L$3,IF(Tabla1[[#This Row],[tamanho]]=$I$4,$L$4,IF(Tabla1[[#This Row],[tamanho]]=$I$5,$L$5,IF(Tabla1[[#This Row],[tamanho]]=$I$6,$L$6,0))))*IF(C1744="8_1",9,25))</f>
        <v>4.2471351777414221E-7</v>
      </c>
    </row>
    <row r="1745" spans="1:6" ht="12.75" x14ac:dyDescent="0.2">
      <c r="A1745" s="1">
        <v>72</v>
      </c>
      <c r="B1745" s="1">
        <v>3</v>
      </c>
      <c r="C1745" s="1" t="s">
        <v>5</v>
      </c>
      <c r="D1745" s="1" t="s">
        <v>9</v>
      </c>
      <c r="E1745" s="1">
        <v>3.9122664928436199</v>
      </c>
      <c r="F1745" s="1">
        <f>Tabla1[[#This Row],[tiempo]]/(IF(Tabla1[[#This Row],[tamanho]]=$I$3,$L$3,IF(Tabla1[[#This Row],[tamanho]]=$I$4,$L$4,IF(Tabla1[[#This Row],[tamanho]]=$I$5,$L$5,IF(Tabla1[[#This Row],[tamanho]]=$I$6,$L$6,0))))*IF(C1745="8_1",9,25))</f>
        <v>1.0518889808001985E-6</v>
      </c>
    </row>
    <row r="1746" spans="1:6" ht="12.75" x14ac:dyDescent="0.2">
      <c r="A1746" s="1">
        <v>72</v>
      </c>
      <c r="B1746" s="1">
        <v>3</v>
      </c>
      <c r="C1746" s="1" t="s">
        <v>7</v>
      </c>
      <c r="D1746" s="1" t="s">
        <v>9</v>
      </c>
      <c r="E1746" s="1">
        <v>4.3763740062713596</v>
      </c>
      <c r="F1746" s="1">
        <f>Tabla1[[#This Row],[tiempo]]/(IF(Tabla1[[#This Row],[tamanho]]=$I$3,$L$3,IF(Tabla1[[#This Row],[tamanho]]=$I$4,$L$4,IF(Tabla1[[#This Row],[tamanho]]=$I$5,$L$5,IF(Tabla1[[#This Row],[tamanho]]=$I$6,$L$6,0))))*IF(C1746="8_1",9,25))</f>
        <v>4.2360239429805566E-7</v>
      </c>
    </row>
    <row r="1747" spans="1:6" ht="12.75" x14ac:dyDescent="0.2">
      <c r="A1747" s="1">
        <v>72</v>
      </c>
      <c r="B1747" s="1">
        <v>3</v>
      </c>
      <c r="C1747" s="1" t="s">
        <v>8</v>
      </c>
      <c r="D1747" s="1" t="s">
        <v>9</v>
      </c>
      <c r="E1747" s="1">
        <v>4.4193370342254603</v>
      </c>
      <c r="F1747" s="1">
        <f>Tabla1[[#This Row],[tiempo]]/(IF(Tabla1[[#This Row],[tamanho]]=$I$3,$L$3,IF(Tabla1[[#This Row],[tamanho]]=$I$4,$L$4,IF(Tabla1[[#This Row],[tamanho]]=$I$5,$L$5,IF(Tabla1[[#This Row],[tamanho]]=$I$6,$L$6,0))))*IF(C1747="8_1",9,25))</f>
        <v>4.2776091490931321E-7</v>
      </c>
    </row>
    <row r="1748" spans="1:6" ht="12.75" x14ac:dyDescent="0.2">
      <c r="A1748" s="1">
        <v>72</v>
      </c>
      <c r="B1748" s="1">
        <v>4</v>
      </c>
      <c r="C1748" s="1" t="s">
        <v>5</v>
      </c>
      <c r="D1748" s="1" t="s">
        <v>6</v>
      </c>
      <c r="E1748" s="1">
        <v>7.0244882106780997</v>
      </c>
      <c r="F1748" s="1">
        <f>Tabla1[[#This Row],[tiempo]]/(IF(Tabla1[[#This Row],[tamanho]]=$I$3,$L$3,IF(Tabla1[[#This Row],[tamanho]]=$I$4,$L$4,IF(Tabla1[[#This Row],[tamanho]]=$I$5,$L$5,IF(Tabla1[[#This Row],[tamanho]]=$I$6,$L$6,0))))*IF(C1748="8_1",9,25))</f>
        <v>1.0607440987266217E-6</v>
      </c>
    </row>
    <row r="1749" spans="1:6" ht="12.75" x14ac:dyDescent="0.2">
      <c r="A1749" s="1">
        <v>72</v>
      </c>
      <c r="B1749" s="1">
        <v>4</v>
      </c>
      <c r="C1749" s="1" t="s">
        <v>7</v>
      </c>
      <c r="D1749" s="1" t="s">
        <v>6</v>
      </c>
      <c r="E1749" s="1">
        <v>7.81372046470642</v>
      </c>
      <c r="F1749" s="1">
        <f>Tabla1[[#This Row],[tiempo]]/(IF(Tabla1[[#This Row],[tamanho]]=$I$3,$L$3,IF(Tabla1[[#This Row],[tamanho]]=$I$4,$L$4,IF(Tabla1[[#This Row],[tamanho]]=$I$5,$L$5,IF(Tabla1[[#This Row],[tamanho]]=$I$6,$L$6,0))))*IF(C1749="8_1",9,25))</f>
        <v>4.2477241678582014E-7</v>
      </c>
    </row>
    <row r="1750" spans="1:6" ht="12.75" x14ac:dyDescent="0.2">
      <c r="A1750" s="1">
        <v>72</v>
      </c>
      <c r="B1750" s="1">
        <v>4</v>
      </c>
      <c r="C1750" s="1" t="s">
        <v>8</v>
      </c>
      <c r="D1750" s="1" t="s">
        <v>6</v>
      </c>
      <c r="E1750" s="1">
        <v>7.8974213600158603</v>
      </c>
      <c r="F1750" s="1">
        <f>Tabla1[[#This Row],[tiempo]]/(IF(Tabla1[[#This Row],[tamanho]]=$I$3,$L$3,IF(Tabla1[[#This Row],[tamanho]]=$I$4,$L$4,IF(Tabla1[[#This Row],[tamanho]]=$I$5,$L$5,IF(Tabla1[[#This Row],[tamanho]]=$I$6,$L$6,0))))*IF(C1750="8_1",9,25))</f>
        <v>4.2932259640234465E-7</v>
      </c>
    </row>
    <row r="1751" spans="1:6" ht="12.75" x14ac:dyDescent="0.2">
      <c r="A1751" s="1">
        <v>72</v>
      </c>
      <c r="B1751" s="1">
        <v>4</v>
      </c>
      <c r="C1751" s="1" t="s">
        <v>5</v>
      </c>
      <c r="D1751" s="1" t="s">
        <v>9</v>
      </c>
      <c r="E1751" s="1">
        <v>7.0808541774749703</v>
      </c>
      <c r="F1751" s="1">
        <f>Tabla1[[#This Row],[tiempo]]/(IF(Tabla1[[#This Row],[tamanho]]=$I$3,$L$3,IF(Tabla1[[#This Row],[tamanho]]=$I$4,$L$4,IF(Tabla1[[#This Row],[tamanho]]=$I$5,$L$5,IF(Tabla1[[#This Row],[tamanho]]=$I$6,$L$6,0))))*IF(C1751="8_1",9,25))</f>
        <v>1.0692557318670849E-6</v>
      </c>
    </row>
    <row r="1752" spans="1:6" ht="12.75" x14ac:dyDescent="0.2">
      <c r="A1752" s="1">
        <v>72</v>
      </c>
      <c r="B1752" s="1">
        <v>4</v>
      </c>
      <c r="C1752" s="1" t="s">
        <v>7</v>
      </c>
      <c r="D1752" s="1" t="s">
        <v>9</v>
      </c>
      <c r="E1752" s="1">
        <v>7.8629000186920104</v>
      </c>
      <c r="F1752" s="1">
        <f>Tabla1[[#This Row],[tiempo]]/(IF(Tabla1[[#This Row],[tamanho]]=$I$3,$L$3,IF(Tabla1[[#This Row],[tamanho]]=$I$4,$L$4,IF(Tabla1[[#This Row],[tamanho]]=$I$5,$L$5,IF(Tabla1[[#This Row],[tamanho]]=$I$6,$L$6,0))))*IF(C1752="8_1",9,25))</f>
        <v>4.2744593423468022E-7</v>
      </c>
    </row>
    <row r="1753" spans="1:6" ht="12.75" x14ac:dyDescent="0.2">
      <c r="A1753" s="1">
        <v>72</v>
      </c>
      <c r="B1753" s="1">
        <v>4</v>
      </c>
      <c r="C1753" s="1" t="s">
        <v>8</v>
      </c>
      <c r="D1753" s="1" t="s">
        <v>9</v>
      </c>
      <c r="E1753" s="1">
        <v>7.90168905258178</v>
      </c>
      <c r="F1753" s="1">
        <f>Tabla1[[#This Row],[tiempo]]/(IF(Tabla1[[#This Row],[tamanho]]=$I$3,$L$3,IF(Tabla1[[#This Row],[tamanho]]=$I$4,$L$4,IF(Tabla1[[#This Row],[tamanho]]=$I$5,$L$5,IF(Tabla1[[#This Row],[tamanho]]=$I$6,$L$6,0))))*IF(C1753="8_1",9,25))</f>
        <v>4.2955459831404766E-7</v>
      </c>
    </row>
    <row r="1754" spans="1:6" ht="12.75" x14ac:dyDescent="0.2">
      <c r="A1754" s="1">
        <v>73</v>
      </c>
      <c r="B1754" s="1">
        <v>1</v>
      </c>
      <c r="C1754" s="1" t="s">
        <v>5</v>
      </c>
      <c r="D1754" s="1" t="s">
        <v>6</v>
      </c>
      <c r="E1754" s="1">
        <v>0.91436243057250899</v>
      </c>
      <c r="F1754" s="1">
        <f>Tabla1[[#This Row],[tiempo]]/(IF(Tabla1[[#This Row],[tamanho]]=$I$3,$L$3,IF(Tabla1[[#This Row],[tamanho]]=$I$4,$L$4,IF(Tabla1[[#This Row],[tamanho]]=$I$5,$L$5,IF(Tabla1[[#This Row],[tamanho]]=$I$6,$L$6,0))))*IF(C1754="8_1",9,25))</f>
        <v>3.7682513860453125E-6</v>
      </c>
    </row>
    <row r="1755" spans="1:6" ht="12.75" x14ac:dyDescent="0.2">
      <c r="A1755" s="1">
        <v>73</v>
      </c>
      <c r="B1755" s="1">
        <v>1</v>
      </c>
      <c r="C1755" s="1" t="s">
        <v>7</v>
      </c>
      <c r="D1755" s="1" t="s">
        <v>6</v>
      </c>
      <c r="E1755" s="1">
        <v>0.96215581893920898</v>
      </c>
      <c r="F1755" s="1">
        <f>Tabla1[[#This Row],[tiempo]]/(IF(Tabla1[[#This Row],[tamanho]]=$I$3,$L$3,IF(Tabla1[[#This Row],[tamanho]]=$I$4,$L$4,IF(Tabla1[[#This Row],[tamanho]]=$I$5,$L$5,IF(Tabla1[[#This Row],[tamanho]]=$I$6,$L$6,0))))*IF(C1755="8_1",9,25))</f>
        <v>1.4274779406390105E-6</v>
      </c>
    </row>
    <row r="1756" spans="1:6" ht="12.75" x14ac:dyDescent="0.2">
      <c r="A1756" s="1">
        <v>73</v>
      </c>
      <c r="B1756" s="1">
        <v>1</v>
      </c>
      <c r="C1756" s="1" t="s">
        <v>8</v>
      </c>
      <c r="D1756" s="1" t="s">
        <v>6</v>
      </c>
      <c r="E1756" s="1">
        <v>0.97224712371826105</v>
      </c>
      <c r="F1756" s="1">
        <f>Tabla1[[#This Row],[tiempo]]/(IF(Tabla1[[#This Row],[tamanho]]=$I$3,$L$3,IF(Tabla1[[#This Row],[tamanho]]=$I$4,$L$4,IF(Tabla1[[#This Row],[tamanho]]=$I$5,$L$5,IF(Tabla1[[#This Row],[tamanho]]=$I$6,$L$6,0))))*IF(C1756="8_1",9,25))</f>
        <v>1.4424496475920938E-6</v>
      </c>
    </row>
    <row r="1757" spans="1:6" ht="12.75" x14ac:dyDescent="0.2">
      <c r="A1757" s="1">
        <v>73</v>
      </c>
      <c r="B1757" s="1">
        <v>1</v>
      </c>
      <c r="C1757" s="1" t="s">
        <v>5</v>
      </c>
      <c r="D1757" s="1" t="s">
        <v>9</v>
      </c>
      <c r="E1757" s="1">
        <v>0.91544103622436501</v>
      </c>
      <c r="F1757" s="1">
        <f>Tabla1[[#This Row],[tiempo]]/(IF(Tabla1[[#This Row],[tamanho]]=$I$3,$L$3,IF(Tabla1[[#This Row],[tamanho]]=$I$4,$L$4,IF(Tabla1[[#This Row],[tamanho]]=$I$5,$L$5,IF(Tabla1[[#This Row],[tamanho]]=$I$6,$L$6,0))))*IF(C1757="8_1",9,25))</f>
        <v>3.7726965131707325E-6</v>
      </c>
    </row>
    <row r="1758" spans="1:6" ht="12.75" x14ac:dyDescent="0.2">
      <c r="A1758" s="1">
        <v>73</v>
      </c>
      <c r="B1758" s="1">
        <v>1</v>
      </c>
      <c r="C1758" s="1" t="s">
        <v>7</v>
      </c>
      <c r="D1758" s="1" t="s">
        <v>9</v>
      </c>
      <c r="E1758" s="1">
        <v>0.962266445159912</v>
      </c>
      <c r="F1758" s="1">
        <f>Tabla1[[#This Row],[tiempo]]/(IF(Tabla1[[#This Row],[tamanho]]=$I$3,$L$3,IF(Tabla1[[#This Row],[tamanho]]=$I$4,$L$4,IF(Tabla1[[#This Row],[tamanho]]=$I$5,$L$5,IF(Tabla1[[#This Row],[tamanho]]=$I$6,$L$6,0))))*IF(C1758="8_1",9,25))</f>
        <v>1.427642068409795E-6</v>
      </c>
    </row>
    <row r="1759" spans="1:6" ht="12.75" x14ac:dyDescent="0.2">
      <c r="A1759" s="1">
        <v>73</v>
      </c>
      <c r="B1759" s="1">
        <v>1</v>
      </c>
      <c r="C1759" s="1" t="s">
        <v>8</v>
      </c>
      <c r="D1759" s="1" t="s">
        <v>9</v>
      </c>
      <c r="E1759" s="1">
        <v>0.99730920791625899</v>
      </c>
      <c r="F1759" s="1">
        <f>Tabla1[[#This Row],[tiempo]]/(IF(Tabla1[[#This Row],[tamanho]]=$I$3,$L$3,IF(Tabla1[[#This Row],[tamanho]]=$I$4,$L$4,IF(Tabla1[[#This Row],[tamanho]]=$I$5,$L$5,IF(Tabla1[[#This Row],[tamanho]]=$I$6,$L$6,0))))*IF(C1759="8_1",9,25))</f>
        <v>1.4796323695949839E-6</v>
      </c>
    </row>
    <row r="1760" spans="1:6" ht="12.75" x14ac:dyDescent="0.2">
      <c r="A1760" s="1">
        <v>73</v>
      </c>
      <c r="B1760" s="1">
        <v>2</v>
      </c>
      <c r="C1760" s="1" t="s">
        <v>5</v>
      </c>
      <c r="D1760" s="1" t="s">
        <v>6</v>
      </c>
      <c r="E1760" s="1">
        <v>3.7948584556579501</v>
      </c>
      <c r="F1760" s="1">
        <f>Tabla1[[#This Row],[tiempo]]/(IF(Tabla1[[#This Row],[tamanho]]=$I$3,$L$3,IF(Tabla1[[#This Row],[tamanho]]=$I$4,$L$4,IF(Tabla1[[#This Row],[tamanho]]=$I$5,$L$5,IF(Tabla1[[#This Row],[tamanho]]=$I$6,$L$6,0))))*IF(C1760="8_1",9,25))</f>
        <v>2.2975498279091883E-6</v>
      </c>
    </row>
    <row r="1761" spans="1:6" ht="12.75" x14ac:dyDescent="0.2">
      <c r="A1761" s="1">
        <v>73</v>
      </c>
      <c r="B1761" s="1">
        <v>2</v>
      </c>
      <c r="C1761" s="1" t="s">
        <v>7</v>
      </c>
      <c r="D1761" s="1" t="s">
        <v>6</v>
      </c>
      <c r="E1761" s="1">
        <v>4.0122923851013104</v>
      </c>
      <c r="F1761" s="1">
        <f>Tabla1[[#This Row],[tiempo]]/(IF(Tabla1[[#This Row],[tamanho]]=$I$3,$L$3,IF(Tabla1[[#This Row],[tamanho]]=$I$4,$L$4,IF(Tabla1[[#This Row],[tamanho]]=$I$5,$L$5,IF(Tabla1[[#This Row],[tamanho]]=$I$6,$L$6,0))))*IF(C1761="8_1",9,25))</f>
        <v>8.7450929808988799E-7</v>
      </c>
    </row>
    <row r="1762" spans="1:6" ht="12.75" x14ac:dyDescent="0.2">
      <c r="A1762" s="1">
        <v>73</v>
      </c>
      <c r="B1762" s="1">
        <v>2</v>
      </c>
      <c r="C1762" s="1" t="s">
        <v>8</v>
      </c>
      <c r="D1762" s="1" t="s">
        <v>6</v>
      </c>
      <c r="E1762" s="1">
        <v>4.0142440795898402</v>
      </c>
      <c r="F1762" s="1">
        <f>Tabla1[[#This Row],[tiempo]]/(IF(Tabla1[[#This Row],[tamanho]]=$I$3,$L$3,IF(Tabla1[[#This Row],[tamanho]]=$I$4,$L$4,IF(Tabla1[[#This Row],[tamanho]]=$I$5,$L$5,IF(Tabla1[[#This Row],[tamanho]]=$I$6,$L$6,0))))*IF(C1762="8_1",9,25))</f>
        <v>8.7493468458056042E-7</v>
      </c>
    </row>
    <row r="1763" spans="1:6" ht="12.75" x14ac:dyDescent="0.2">
      <c r="A1763" s="1">
        <v>73</v>
      </c>
      <c r="B1763" s="1">
        <v>2</v>
      </c>
      <c r="C1763" s="1" t="s">
        <v>5</v>
      </c>
      <c r="D1763" s="1" t="s">
        <v>9</v>
      </c>
      <c r="E1763" s="1">
        <v>3.8130867481231601</v>
      </c>
      <c r="F1763" s="1">
        <f>Tabla1[[#This Row],[tiempo]]/(IF(Tabla1[[#This Row],[tamanho]]=$I$3,$L$3,IF(Tabla1[[#This Row],[tamanho]]=$I$4,$L$4,IF(Tabla1[[#This Row],[tamanho]]=$I$5,$L$5,IF(Tabla1[[#This Row],[tamanho]]=$I$6,$L$6,0))))*IF(C1763="8_1",9,25))</f>
        <v>2.3085859207452937E-6</v>
      </c>
    </row>
    <row r="1764" spans="1:6" ht="12.75" x14ac:dyDescent="0.2">
      <c r="A1764" s="1">
        <v>73</v>
      </c>
      <c r="B1764" s="1">
        <v>2</v>
      </c>
      <c r="C1764" s="1" t="s">
        <v>7</v>
      </c>
      <c r="D1764" s="1" t="s">
        <v>9</v>
      </c>
      <c r="E1764" s="1">
        <v>3.9989433288574201</v>
      </c>
      <c r="F1764" s="1">
        <f>Tabla1[[#This Row],[tiempo]]/(IF(Tabla1[[#This Row],[tamanho]]=$I$3,$L$3,IF(Tabla1[[#This Row],[tamanho]]=$I$4,$L$4,IF(Tabla1[[#This Row],[tamanho]]=$I$5,$L$5,IF(Tabla1[[#This Row],[tamanho]]=$I$6,$L$6,0))))*IF(C1764="8_1",9,25))</f>
        <v>8.7159977089557001E-7</v>
      </c>
    </row>
    <row r="1765" spans="1:6" ht="12.75" x14ac:dyDescent="0.2">
      <c r="A1765" s="1">
        <v>73</v>
      </c>
      <c r="B1765" s="1">
        <v>2</v>
      </c>
      <c r="C1765" s="1" t="s">
        <v>8</v>
      </c>
      <c r="D1765" s="1" t="s">
        <v>9</v>
      </c>
      <c r="E1765" s="1">
        <v>3.9955680370330802</v>
      </c>
      <c r="F1765" s="1">
        <f>Tabla1[[#This Row],[tiempo]]/(IF(Tabla1[[#This Row],[tamanho]]=$I$3,$L$3,IF(Tabla1[[#This Row],[tamanho]]=$I$4,$L$4,IF(Tabla1[[#This Row],[tamanho]]=$I$5,$L$5,IF(Tabla1[[#This Row],[tamanho]]=$I$6,$L$6,0))))*IF(C1765="8_1",9,25))</f>
        <v>8.7086410065999283E-7</v>
      </c>
    </row>
    <row r="1766" spans="1:6" ht="12.75" x14ac:dyDescent="0.2">
      <c r="A1766" s="1">
        <v>73</v>
      </c>
      <c r="B1766" s="1">
        <v>3</v>
      </c>
      <c r="C1766" s="1" t="s">
        <v>5</v>
      </c>
      <c r="D1766" s="1" t="s">
        <v>6</v>
      </c>
      <c r="E1766" s="1">
        <v>8.5535619258880597</v>
      </c>
      <c r="F1766" s="1">
        <f>Tabla1[[#This Row],[tiempo]]/(IF(Tabla1[[#This Row],[tamanho]]=$I$3,$L$3,IF(Tabla1[[#This Row],[tamanho]]=$I$4,$L$4,IF(Tabla1[[#This Row],[tamanho]]=$I$5,$L$5,IF(Tabla1[[#This Row],[tamanho]]=$I$6,$L$6,0))))*IF(C1766="8_1",9,25))</f>
        <v>2.2997915793548209E-6</v>
      </c>
    </row>
    <row r="1767" spans="1:6" ht="12.75" x14ac:dyDescent="0.2">
      <c r="A1767" s="1">
        <v>73</v>
      </c>
      <c r="B1767" s="1">
        <v>3</v>
      </c>
      <c r="C1767" s="1" t="s">
        <v>7</v>
      </c>
      <c r="D1767" s="1" t="s">
        <v>6</v>
      </c>
      <c r="E1767" s="1">
        <v>8.9908933639526296</v>
      </c>
      <c r="F1767" s="1">
        <f>Tabla1[[#This Row],[tiempo]]/(IF(Tabla1[[#This Row],[tamanho]]=$I$3,$L$3,IF(Tabla1[[#This Row],[tamanho]]=$I$4,$L$4,IF(Tabla1[[#This Row],[tamanho]]=$I$5,$L$5,IF(Tabla1[[#This Row],[tamanho]]=$I$6,$L$6,0))))*IF(C1767="8_1",9,25))</f>
        <v>8.7025559296146711E-7</v>
      </c>
    </row>
    <row r="1768" spans="1:6" ht="12.75" x14ac:dyDescent="0.2">
      <c r="A1768" s="1">
        <v>73</v>
      </c>
      <c r="B1768" s="1">
        <v>3</v>
      </c>
      <c r="C1768" s="1" t="s">
        <v>8</v>
      </c>
      <c r="D1768" s="1" t="s">
        <v>6</v>
      </c>
      <c r="E1768" s="1">
        <v>9.0335853099822998</v>
      </c>
      <c r="F1768" s="1">
        <f>Tabla1[[#This Row],[tiempo]]/(IF(Tabla1[[#This Row],[tamanho]]=$I$3,$L$3,IF(Tabla1[[#This Row],[tamanho]]=$I$4,$L$4,IF(Tabla1[[#This Row],[tamanho]]=$I$5,$L$5,IF(Tabla1[[#This Row],[tamanho]]=$I$6,$L$6,0))))*IF(C1768="8_1",9,25))</f>
        <v>8.7438787473845804E-7</v>
      </c>
    </row>
    <row r="1769" spans="1:6" ht="12.75" x14ac:dyDescent="0.2">
      <c r="A1769" s="1">
        <v>73</v>
      </c>
      <c r="B1769" s="1">
        <v>3</v>
      </c>
      <c r="C1769" s="1" t="s">
        <v>5</v>
      </c>
      <c r="D1769" s="1" t="s">
        <v>9</v>
      </c>
      <c r="E1769" s="1">
        <v>8.5000915527343697</v>
      </c>
      <c r="F1769" s="1">
        <f>Tabla1[[#This Row],[tiempo]]/(IF(Tabla1[[#This Row],[tamanho]]=$I$3,$L$3,IF(Tabla1[[#This Row],[tamanho]]=$I$4,$L$4,IF(Tabla1[[#This Row],[tamanho]]=$I$5,$L$5,IF(Tabla1[[#This Row],[tamanho]]=$I$6,$L$6,0))))*IF(C1769="8_1",9,25))</f>
        <v>2.285415028978581E-6</v>
      </c>
    </row>
    <row r="1770" spans="1:6" ht="12.75" x14ac:dyDescent="0.2">
      <c r="A1770" s="1">
        <v>73</v>
      </c>
      <c r="B1770" s="1">
        <v>3</v>
      </c>
      <c r="C1770" s="1" t="s">
        <v>7</v>
      </c>
      <c r="D1770" s="1" t="s">
        <v>9</v>
      </c>
      <c r="E1770" s="1">
        <v>9.0589692592620796</v>
      </c>
      <c r="F1770" s="1">
        <f>Tabla1[[#This Row],[tiempo]]/(IF(Tabla1[[#This Row],[tamanho]]=$I$3,$L$3,IF(Tabla1[[#This Row],[tamanho]]=$I$4,$L$4,IF(Tabla1[[#This Row],[tamanho]]=$I$5,$L$5,IF(Tabla1[[#This Row],[tamanho]]=$I$6,$L$6,0))))*IF(C1770="8_1",9,25))</f>
        <v>8.7684486348673374E-7</v>
      </c>
    </row>
    <row r="1771" spans="1:6" ht="12.75" x14ac:dyDescent="0.2">
      <c r="A1771" s="1">
        <v>73</v>
      </c>
      <c r="B1771" s="1">
        <v>3</v>
      </c>
      <c r="C1771" s="1" t="s">
        <v>8</v>
      </c>
      <c r="D1771" s="1" t="s">
        <v>9</v>
      </c>
      <c r="E1771" s="1">
        <v>9.0817928314208896</v>
      </c>
      <c r="F1771" s="1">
        <f>Tabla1[[#This Row],[tiempo]]/(IF(Tabla1[[#This Row],[tamanho]]=$I$3,$L$3,IF(Tabla1[[#This Row],[tamanho]]=$I$4,$L$4,IF(Tabla1[[#This Row],[tamanho]]=$I$5,$L$5,IF(Tabla1[[#This Row],[tamanho]]=$I$6,$L$6,0))))*IF(C1771="8_1",9,25))</f>
        <v>8.7905402563764954E-7</v>
      </c>
    </row>
    <row r="1772" spans="1:6" ht="12.75" x14ac:dyDescent="0.2">
      <c r="A1772" s="1">
        <v>73</v>
      </c>
      <c r="B1772" s="1">
        <v>4</v>
      </c>
      <c r="C1772" s="1" t="s">
        <v>5</v>
      </c>
      <c r="D1772" s="1" t="s">
        <v>6</v>
      </c>
      <c r="E1772" s="1">
        <v>15.202729225158601</v>
      </c>
      <c r="F1772" s="1">
        <f>Tabla1[[#This Row],[tiempo]]/(IF(Tabla1[[#This Row],[tamanho]]=$I$3,$L$3,IF(Tabla1[[#This Row],[tamanho]]=$I$4,$L$4,IF(Tabla1[[#This Row],[tamanho]]=$I$5,$L$5,IF(Tabla1[[#This Row],[tamanho]]=$I$6,$L$6,0))))*IF(C1772="8_1",9,25))</f>
        <v>2.2957124884360808E-6</v>
      </c>
    </row>
    <row r="1773" spans="1:6" ht="12.75" x14ac:dyDescent="0.2">
      <c r="A1773" s="1">
        <v>73</v>
      </c>
      <c r="B1773" s="1">
        <v>4</v>
      </c>
      <c r="C1773" s="1" t="s">
        <v>7</v>
      </c>
      <c r="D1773" s="1" t="s">
        <v>6</v>
      </c>
      <c r="E1773" s="1">
        <v>16.143301486968902</v>
      </c>
      <c r="F1773" s="1">
        <f>Tabla1[[#This Row],[tiempo]]/(IF(Tabla1[[#This Row],[tamanho]]=$I$3,$L$3,IF(Tabla1[[#This Row],[tamanho]]=$I$4,$L$4,IF(Tabla1[[#This Row],[tamanho]]=$I$5,$L$5,IF(Tabla1[[#This Row],[tamanho]]=$I$6,$L$6,0))))*IF(C1773="8_1",9,25))</f>
        <v>8.7758823962223049E-7</v>
      </c>
    </row>
    <row r="1774" spans="1:6" ht="12.75" x14ac:dyDescent="0.2">
      <c r="A1774" s="1">
        <v>73</v>
      </c>
      <c r="B1774" s="1">
        <v>4</v>
      </c>
      <c r="C1774" s="1" t="s">
        <v>8</v>
      </c>
      <c r="D1774" s="1" t="s">
        <v>6</v>
      </c>
      <c r="E1774" s="1">
        <v>16.144830703735298</v>
      </c>
      <c r="F1774" s="1">
        <f>Tabla1[[#This Row],[tiempo]]/(IF(Tabla1[[#This Row],[tamanho]]=$I$3,$L$3,IF(Tabla1[[#This Row],[tamanho]]=$I$4,$L$4,IF(Tabla1[[#This Row],[tamanho]]=$I$5,$L$5,IF(Tabla1[[#This Row],[tamanho]]=$I$6,$L$6,0))))*IF(C1774="8_1",9,25))</f>
        <v>8.7767137148042607E-7</v>
      </c>
    </row>
    <row r="1775" spans="1:6" ht="12.75" x14ac:dyDescent="0.2">
      <c r="A1775" s="1">
        <v>73</v>
      </c>
      <c r="B1775" s="1">
        <v>4</v>
      </c>
      <c r="C1775" s="1" t="s">
        <v>5</v>
      </c>
      <c r="D1775" s="1" t="s">
        <v>9</v>
      </c>
      <c r="E1775" s="1">
        <v>15.310199022293</v>
      </c>
      <c r="F1775" s="1">
        <f>Tabla1[[#This Row],[tiempo]]/(IF(Tabla1[[#This Row],[tamanho]]=$I$3,$L$3,IF(Tabla1[[#This Row],[tamanho]]=$I$4,$L$4,IF(Tabla1[[#This Row],[tamanho]]=$I$5,$L$5,IF(Tabla1[[#This Row],[tamanho]]=$I$6,$L$6,0))))*IF(C1775="8_1",9,25))</f>
        <v>2.3119411373685922E-6</v>
      </c>
    </row>
    <row r="1776" spans="1:6" ht="12.75" x14ac:dyDescent="0.2">
      <c r="A1776" s="1">
        <v>73</v>
      </c>
      <c r="B1776" s="1">
        <v>4</v>
      </c>
      <c r="C1776" s="1" t="s">
        <v>7</v>
      </c>
      <c r="D1776" s="1" t="s">
        <v>9</v>
      </c>
      <c r="E1776" s="1">
        <v>16.040333747863698</v>
      </c>
      <c r="F1776" s="1">
        <f>Tabla1[[#This Row],[tiempo]]/(IF(Tabla1[[#This Row],[tamanho]]=$I$3,$L$3,IF(Tabla1[[#This Row],[tamanho]]=$I$4,$L$4,IF(Tabla1[[#This Row],[tamanho]]=$I$5,$L$5,IF(Tabla1[[#This Row],[tamanho]]=$I$6,$L$6,0))))*IF(C1776="8_1",9,25))</f>
        <v>8.719906685818731E-7</v>
      </c>
    </row>
    <row r="1777" spans="1:6" ht="12.75" x14ac:dyDescent="0.2">
      <c r="A1777" s="1">
        <v>73</v>
      </c>
      <c r="B1777" s="1">
        <v>4</v>
      </c>
      <c r="C1777" s="1" t="s">
        <v>8</v>
      </c>
      <c r="D1777" s="1" t="s">
        <v>9</v>
      </c>
      <c r="E1777" s="1">
        <v>16.161309719085601</v>
      </c>
      <c r="F1777" s="1">
        <f>Tabla1[[#This Row],[tiempo]]/(IF(Tabla1[[#This Row],[tamanho]]=$I$3,$L$3,IF(Tabla1[[#This Row],[tamanho]]=$I$4,$L$4,IF(Tabla1[[#This Row],[tamanho]]=$I$5,$L$5,IF(Tabla1[[#This Row],[tamanho]]=$I$6,$L$6,0))))*IF(C1777="8_1",9,25))</f>
        <v>8.7856720992361277E-7</v>
      </c>
    </row>
    <row r="1778" spans="1:6" ht="12.75" x14ac:dyDescent="0.2">
      <c r="A1778" s="1">
        <v>74</v>
      </c>
      <c r="B1778" s="1">
        <v>1</v>
      </c>
      <c r="C1778" s="1" t="s">
        <v>5</v>
      </c>
      <c r="D1778" s="1" t="s">
        <v>6</v>
      </c>
      <c r="E1778" s="1">
        <v>0.91001868247985795</v>
      </c>
      <c r="F1778" s="1">
        <f>Tabla1[[#This Row],[tiempo]]/(IF(Tabla1[[#This Row],[tamanho]]=$I$3,$L$3,IF(Tabla1[[#This Row],[tamanho]]=$I$4,$L$4,IF(Tabla1[[#This Row],[tamanho]]=$I$5,$L$5,IF(Tabla1[[#This Row],[tamanho]]=$I$6,$L$6,0))))*IF(C1778="8_1",9,25))</f>
        <v>3.7503500219652995E-6</v>
      </c>
    </row>
    <row r="1779" spans="1:6" ht="12.75" x14ac:dyDescent="0.2">
      <c r="A1779" s="1">
        <v>74</v>
      </c>
      <c r="B1779" s="1">
        <v>1</v>
      </c>
      <c r="C1779" s="1" t="s">
        <v>7</v>
      </c>
      <c r="D1779" s="1" t="s">
        <v>6</v>
      </c>
      <c r="E1779" s="1">
        <v>0.95928883552551203</v>
      </c>
      <c r="F1779" s="1">
        <f>Tabla1[[#This Row],[tiempo]]/(IF(Tabla1[[#This Row],[tamanho]]=$I$3,$L$3,IF(Tabla1[[#This Row],[tamanho]]=$I$4,$L$4,IF(Tabla1[[#This Row],[tamanho]]=$I$5,$L$5,IF(Tabla1[[#This Row],[tamanho]]=$I$6,$L$6,0))))*IF(C1779="8_1",9,25))</f>
        <v>1.4232244138207219E-6</v>
      </c>
    </row>
    <row r="1780" spans="1:6" ht="12.75" x14ac:dyDescent="0.2">
      <c r="A1780" s="1">
        <v>74</v>
      </c>
      <c r="B1780" s="1">
        <v>1</v>
      </c>
      <c r="C1780" s="1" t="s">
        <v>8</v>
      </c>
      <c r="D1780" s="1" t="s">
        <v>6</v>
      </c>
      <c r="E1780" s="1">
        <v>0.95691633224487305</v>
      </c>
      <c r="F1780" s="1">
        <f>Tabla1[[#This Row],[tiempo]]/(IF(Tabla1[[#This Row],[tamanho]]=$I$3,$L$3,IF(Tabla1[[#This Row],[tamanho]]=$I$4,$L$4,IF(Tabla1[[#This Row],[tamanho]]=$I$5,$L$5,IF(Tabla1[[#This Row],[tamanho]]=$I$6,$L$6,0))))*IF(C1780="8_1",9,25))</f>
        <v>1.4197045098399512E-6</v>
      </c>
    </row>
    <row r="1781" spans="1:6" ht="12.75" x14ac:dyDescent="0.2">
      <c r="A1781" s="1">
        <v>74</v>
      </c>
      <c r="B1781" s="1">
        <v>1</v>
      </c>
      <c r="C1781" s="1" t="s">
        <v>5</v>
      </c>
      <c r="D1781" s="1" t="s">
        <v>9</v>
      </c>
      <c r="E1781" s="1">
        <v>0.91396474838256803</v>
      </c>
      <c r="F1781" s="1">
        <f>Tabla1[[#This Row],[tiempo]]/(IF(Tabla1[[#This Row],[tamanho]]=$I$3,$L$3,IF(Tabla1[[#This Row],[tamanho]]=$I$4,$L$4,IF(Tabla1[[#This Row],[tamanho]]=$I$5,$L$5,IF(Tabla1[[#This Row],[tamanho]]=$I$6,$L$6,0))))*IF(C1781="8_1",9,25))</f>
        <v>3.7666124664950939E-6</v>
      </c>
    </row>
    <row r="1782" spans="1:6" ht="12.75" x14ac:dyDescent="0.2">
      <c r="A1782" s="1">
        <v>74</v>
      </c>
      <c r="B1782" s="1">
        <v>1</v>
      </c>
      <c r="C1782" s="1" t="s">
        <v>7</v>
      </c>
      <c r="D1782" s="1" t="s">
        <v>9</v>
      </c>
      <c r="E1782" s="1">
        <v>0.960621118545532</v>
      </c>
      <c r="F1782" s="1">
        <f>Tabla1[[#This Row],[tiempo]]/(IF(Tabla1[[#This Row],[tamanho]]=$I$3,$L$3,IF(Tabla1[[#This Row],[tamanho]]=$I$4,$L$4,IF(Tabla1[[#This Row],[tamanho]]=$I$5,$L$5,IF(Tabla1[[#This Row],[tamanho]]=$I$6,$L$6,0))))*IF(C1782="8_1",9,25))</f>
        <v>1.4252010215430169E-6</v>
      </c>
    </row>
    <row r="1783" spans="1:6" ht="12.75" x14ac:dyDescent="0.2">
      <c r="A1783" s="1">
        <v>74</v>
      </c>
      <c r="B1783" s="1">
        <v>1</v>
      </c>
      <c r="C1783" s="1" t="s">
        <v>8</v>
      </c>
      <c r="D1783" s="1" t="s">
        <v>9</v>
      </c>
      <c r="E1783" s="1">
        <v>0.964691162109375</v>
      </c>
      <c r="F1783" s="1">
        <f>Tabla1[[#This Row],[tiempo]]/(IF(Tabla1[[#This Row],[tamanho]]=$I$3,$L$3,IF(Tabla1[[#This Row],[tamanho]]=$I$4,$L$4,IF(Tabla1[[#This Row],[tamanho]]=$I$5,$L$5,IF(Tabla1[[#This Row],[tamanho]]=$I$6,$L$6,0))))*IF(C1783="8_1",9,25))</f>
        <v>1.431239437868588E-6</v>
      </c>
    </row>
    <row r="1784" spans="1:6" ht="12.75" x14ac:dyDescent="0.2">
      <c r="A1784" s="1">
        <v>74</v>
      </c>
      <c r="B1784" s="1">
        <v>2</v>
      </c>
      <c r="C1784" s="1" t="s">
        <v>5</v>
      </c>
      <c r="D1784" s="1" t="s">
        <v>6</v>
      </c>
      <c r="E1784" s="1">
        <v>3.7711992263793901</v>
      </c>
      <c r="F1784" s="1">
        <f>Tabla1[[#This Row],[tiempo]]/(IF(Tabla1[[#This Row],[tamanho]]=$I$3,$L$3,IF(Tabla1[[#This Row],[tamanho]]=$I$4,$L$4,IF(Tabla1[[#This Row],[tamanho]]=$I$5,$L$5,IF(Tabla1[[#This Row],[tamanho]]=$I$6,$L$6,0))))*IF(C1784="8_1",9,25))</f>
        <v>2.2832256419632342E-6</v>
      </c>
    </row>
    <row r="1785" spans="1:6" ht="12.75" x14ac:dyDescent="0.2">
      <c r="A1785" s="1">
        <v>74</v>
      </c>
      <c r="B1785" s="1">
        <v>2</v>
      </c>
      <c r="C1785" s="1" t="s">
        <v>7</v>
      </c>
      <c r="D1785" s="1" t="s">
        <v>6</v>
      </c>
      <c r="E1785" s="1">
        <v>3.9749805927276598</v>
      </c>
      <c r="F1785" s="1">
        <f>Tabla1[[#This Row],[tiempo]]/(IF(Tabla1[[#This Row],[tamanho]]=$I$3,$L$3,IF(Tabla1[[#This Row],[tamanho]]=$I$4,$L$4,IF(Tabla1[[#This Row],[tamanho]]=$I$5,$L$5,IF(Tabla1[[#This Row],[tamanho]]=$I$6,$L$6,0))))*IF(C1785="8_1",9,25))</f>
        <v>8.6637691235441201E-7</v>
      </c>
    </row>
    <row r="1786" spans="1:6" ht="12.75" x14ac:dyDescent="0.2">
      <c r="A1786" s="1">
        <v>74</v>
      </c>
      <c r="B1786" s="1">
        <v>2</v>
      </c>
      <c r="C1786" s="1" t="s">
        <v>8</v>
      </c>
      <c r="D1786" s="1" t="s">
        <v>6</v>
      </c>
      <c r="E1786" s="1">
        <v>3.9571726322174001</v>
      </c>
      <c r="F1786" s="1">
        <f>Tabla1[[#This Row],[tiempo]]/(IF(Tabla1[[#This Row],[tamanho]]=$I$3,$L$3,IF(Tabla1[[#This Row],[tamanho]]=$I$4,$L$4,IF(Tabla1[[#This Row],[tamanho]]=$I$5,$L$5,IF(Tabla1[[#This Row],[tamanho]]=$I$6,$L$6,0))))*IF(C1786="8_1",9,25))</f>
        <v>8.6249553344392499E-7</v>
      </c>
    </row>
    <row r="1787" spans="1:6" ht="12.75" x14ac:dyDescent="0.2">
      <c r="A1787" s="1">
        <v>74</v>
      </c>
      <c r="B1787" s="1">
        <v>2</v>
      </c>
      <c r="C1787" s="1" t="s">
        <v>5</v>
      </c>
      <c r="D1787" s="1" t="s">
        <v>9</v>
      </c>
      <c r="E1787" s="1">
        <v>3.80544710159301</v>
      </c>
      <c r="F1787" s="1">
        <f>Tabla1[[#This Row],[tiempo]]/(IF(Tabla1[[#This Row],[tamanho]]=$I$3,$L$3,IF(Tabla1[[#This Row],[tamanho]]=$I$4,$L$4,IF(Tabla1[[#This Row],[tamanho]]=$I$5,$L$5,IF(Tabla1[[#This Row],[tamanho]]=$I$6,$L$6,0))))*IF(C1787="8_1",9,25))</f>
        <v>2.3039605918230875E-6</v>
      </c>
    </row>
    <row r="1788" spans="1:6" ht="12.75" x14ac:dyDescent="0.2">
      <c r="A1788" s="1">
        <v>74</v>
      </c>
      <c r="B1788" s="1">
        <v>2</v>
      </c>
      <c r="C1788" s="1" t="s">
        <v>7</v>
      </c>
      <c r="D1788" s="1" t="s">
        <v>9</v>
      </c>
      <c r="E1788" s="1">
        <v>3.98159480094909</v>
      </c>
      <c r="F1788" s="1">
        <f>Tabla1[[#This Row],[tiempo]]/(IF(Tabla1[[#This Row],[tamanho]]=$I$3,$L$3,IF(Tabla1[[#This Row],[tamanho]]=$I$4,$L$4,IF(Tabla1[[#This Row],[tamanho]]=$I$5,$L$5,IF(Tabla1[[#This Row],[tamanho]]=$I$6,$L$6,0))))*IF(C1788="8_1",9,25))</f>
        <v>8.6781852877564327E-7</v>
      </c>
    </row>
    <row r="1789" spans="1:6" ht="12.75" x14ac:dyDescent="0.2">
      <c r="A1789" s="1">
        <v>74</v>
      </c>
      <c r="B1789" s="1">
        <v>2</v>
      </c>
      <c r="C1789" s="1" t="s">
        <v>8</v>
      </c>
      <c r="D1789" s="1" t="s">
        <v>9</v>
      </c>
      <c r="E1789" s="1">
        <v>3.96916556358337</v>
      </c>
      <c r="F1789" s="1">
        <f>Tabla1[[#This Row],[tiempo]]/(IF(Tabla1[[#This Row],[tamanho]]=$I$3,$L$3,IF(Tabla1[[#This Row],[tamanho]]=$I$4,$L$4,IF(Tabla1[[#This Row],[tamanho]]=$I$5,$L$5,IF(Tabla1[[#This Row],[tamanho]]=$I$6,$L$6,0))))*IF(C1789="8_1",9,25))</f>
        <v>8.651094830229335E-7</v>
      </c>
    </row>
    <row r="1790" spans="1:6" ht="12.75" x14ac:dyDescent="0.2">
      <c r="A1790" s="1">
        <v>74</v>
      </c>
      <c r="B1790" s="1">
        <v>3</v>
      </c>
      <c r="C1790" s="1" t="s">
        <v>5</v>
      </c>
      <c r="D1790" s="1" t="s">
        <v>6</v>
      </c>
      <c r="E1790" s="1">
        <v>8.5141122341156006</v>
      </c>
      <c r="F1790" s="1">
        <f>Tabla1[[#This Row],[tiempo]]/(IF(Tabla1[[#This Row],[tamanho]]=$I$3,$L$3,IF(Tabla1[[#This Row],[tamanho]]=$I$4,$L$4,IF(Tabla1[[#This Row],[tamanho]]=$I$5,$L$5,IF(Tabla1[[#This Row],[tamanho]]=$I$6,$L$6,0))))*IF(C1790="8_1",9,25))</f>
        <v>2.2891847620157362E-6</v>
      </c>
    </row>
    <row r="1791" spans="1:6" ht="12.75" x14ac:dyDescent="0.2">
      <c r="A1791" s="1">
        <v>74</v>
      </c>
      <c r="B1791" s="1">
        <v>3</v>
      </c>
      <c r="C1791" s="1" t="s">
        <v>7</v>
      </c>
      <c r="D1791" s="1" t="s">
        <v>6</v>
      </c>
      <c r="E1791" s="1">
        <v>9.0511903762817294</v>
      </c>
      <c r="F1791" s="1">
        <f>Tabla1[[#This Row],[tiempo]]/(IF(Tabla1[[#This Row],[tamanho]]=$I$3,$L$3,IF(Tabla1[[#This Row],[tamanho]]=$I$4,$L$4,IF(Tabla1[[#This Row],[tamanho]]=$I$5,$L$5,IF(Tabla1[[#This Row],[tamanho]]=$I$6,$L$6,0))))*IF(C1791="8_1",9,25))</f>
        <v>8.760919220217861E-7</v>
      </c>
    </row>
    <row r="1792" spans="1:6" ht="12.75" x14ac:dyDescent="0.2">
      <c r="A1792" s="1">
        <v>74</v>
      </c>
      <c r="B1792" s="1">
        <v>3</v>
      </c>
      <c r="C1792" s="1" t="s">
        <v>8</v>
      </c>
      <c r="D1792" s="1" t="s">
        <v>6</v>
      </c>
      <c r="E1792" s="1">
        <v>9.0526828765869105</v>
      </c>
      <c r="F1792" s="1">
        <f>Tabla1[[#This Row],[tiempo]]/(IF(Tabla1[[#This Row],[tamanho]]=$I$3,$L$3,IF(Tabla1[[#This Row],[tamanho]]=$I$4,$L$4,IF(Tabla1[[#This Row],[tamanho]]=$I$5,$L$5,IF(Tabla1[[#This Row],[tamanho]]=$I$6,$L$6,0))))*IF(C1792="8_1",9,25))</f>
        <v>8.7623638561238855E-7</v>
      </c>
    </row>
    <row r="1793" spans="1:6" ht="12.75" x14ac:dyDescent="0.2">
      <c r="A1793" s="1">
        <v>74</v>
      </c>
      <c r="B1793" s="1">
        <v>3</v>
      </c>
      <c r="C1793" s="1" t="s">
        <v>5</v>
      </c>
      <c r="D1793" s="1" t="s">
        <v>9</v>
      </c>
      <c r="E1793" s="1">
        <v>8.5563645362854004</v>
      </c>
      <c r="F1793" s="1">
        <f>Tabla1[[#This Row],[tiempo]]/(IF(Tabla1[[#This Row],[tamanho]]=$I$3,$L$3,IF(Tabla1[[#This Row],[tamanho]]=$I$4,$L$4,IF(Tabla1[[#This Row],[tamanho]]=$I$5,$L$5,IF(Tabla1[[#This Row],[tamanho]]=$I$6,$L$6,0))))*IF(C1793="8_1",9,25))</f>
        <v>2.300545115700014E-6</v>
      </c>
    </row>
    <row r="1794" spans="1:6" ht="12.75" x14ac:dyDescent="0.2">
      <c r="A1794" s="1">
        <v>74</v>
      </c>
      <c r="B1794" s="1">
        <v>3</v>
      </c>
      <c r="C1794" s="1" t="s">
        <v>7</v>
      </c>
      <c r="D1794" s="1" t="s">
        <v>9</v>
      </c>
      <c r="E1794" s="1">
        <v>9.0050516128540004</v>
      </c>
      <c r="F1794" s="1">
        <f>Tabla1[[#This Row],[tiempo]]/(IF(Tabla1[[#This Row],[tamanho]]=$I$3,$L$3,IF(Tabla1[[#This Row],[tamanho]]=$I$4,$L$4,IF(Tabla1[[#This Row],[tamanho]]=$I$5,$L$5,IF(Tabla1[[#This Row],[tamanho]]=$I$6,$L$6,0))))*IF(C1794="8_1",9,25))</f>
        <v>8.7162601242860912E-7</v>
      </c>
    </row>
    <row r="1795" spans="1:6" ht="12.75" x14ac:dyDescent="0.2">
      <c r="A1795" s="1">
        <v>74</v>
      </c>
      <c r="B1795" s="1">
        <v>3</v>
      </c>
      <c r="C1795" s="1" t="s">
        <v>8</v>
      </c>
      <c r="D1795" s="1" t="s">
        <v>9</v>
      </c>
      <c r="E1795" s="1">
        <v>9.0530235767364502</v>
      </c>
      <c r="F1795" s="1">
        <f>Tabla1[[#This Row],[tiempo]]/(IF(Tabla1[[#This Row],[tamanho]]=$I$3,$L$3,IF(Tabla1[[#This Row],[tamanho]]=$I$4,$L$4,IF(Tabla1[[#This Row],[tamanho]]=$I$5,$L$5,IF(Tabla1[[#This Row],[tamanho]]=$I$6,$L$6,0))))*IF(C1795="8_1",9,25))</f>
        <v>8.7626936300391776E-7</v>
      </c>
    </row>
    <row r="1796" spans="1:6" ht="12.75" x14ac:dyDescent="0.2">
      <c r="A1796" s="1">
        <v>74</v>
      </c>
      <c r="B1796" s="1">
        <v>4</v>
      </c>
      <c r="C1796" s="1" t="s">
        <v>5</v>
      </c>
      <c r="D1796" s="1" t="s">
        <v>6</v>
      </c>
      <c r="E1796" s="1">
        <v>15.2721791267395</v>
      </c>
      <c r="F1796" s="1">
        <f>Tabla1[[#This Row],[tiempo]]/(IF(Tabla1[[#This Row],[tamanho]]=$I$3,$L$3,IF(Tabla1[[#This Row],[tamanho]]=$I$4,$L$4,IF(Tabla1[[#This Row],[tamanho]]=$I$5,$L$5,IF(Tabla1[[#This Row],[tamanho]]=$I$6,$L$6,0))))*IF(C1796="8_1",9,25))</f>
        <v>2.3061998821151103E-6</v>
      </c>
    </row>
    <row r="1797" spans="1:6" ht="12.75" x14ac:dyDescent="0.2">
      <c r="A1797" s="1">
        <v>74</v>
      </c>
      <c r="B1797" s="1">
        <v>4</v>
      </c>
      <c r="C1797" s="1" t="s">
        <v>7</v>
      </c>
      <c r="D1797" s="1" t="s">
        <v>6</v>
      </c>
      <c r="E1797" s="1">
        <v>15.9776980876922</v>
      </c>
      <c r="F1797" s="1">
        <f>Tabla1[[#This Row],[tiempo]]/(IF(Tabla1[[#This Row],[tamanho]]=$I$3,$L$3,IF(Tabla1[[#This Row],[tamanho]]=$I$4,$L$4,IF(Tabla1[[#This Row],[tamanho]]=$I$5,$L$5,IF(Tabla1[[#This Row],[tamanho]]=$I$6,$L$6,0))))*IF(C1797="8_1",9,25))</f>
        <v>8.6858564521711387E-7</v>
      </c>
    </row>
    <row r="1798" spans="1:6" ht="12.75" x14ac:dyDescent="0.2">
      <c r="A1798" s="1">
        <v>74</v>
      </c>
      <c r="B1798" s="1">
        <v>4</v>
      </c>
      <c r="C1798" s="1" t="s">
        <v>8</v>
      </c>
      <c r="D1798" s="1" t="s">
        <v>6</v>
      </c>
      <c r="E1798" s="1">
        <v>16.144811630248999</v>
      </c>
      <c r="F1798" s="1">
        <f>Tabla1[[#This Row],[tiempo]]/(IF(Tabla1[[#This Row],[tamanho]]=$I$3,$L$3,IF(Tabla1[[#This Row],[tamanho]]=$I$4,$L$4,IF(Tabla1[[#This Row],[tamanho]]=$I$5,$L$5,IF(Tabla1[[#This Row],[tamanho]]=$I$6,$L$6,0))))*IF(C1798="8_1",9,25))</f>
        <v>8.776703346003753E-7</v>
      </c>
    </row>
    <row r="1799" spans="1:6" ht="12.75" x14ac:dyDescent="0.2">
      <c r="A1799" s="1">
        <v>74</v>
      </c>
      <c r="B1799" s="1">
        <v>4</v>
      </c>
      <c r="C1799" s="1" t="s">
        <v>5</v>
      </c>
      <c r="D1799" s="1" t="s">
        <v>9</v>
      </c>
      <c r="E1799" s="1">
        <v>15.266455411911</v>
      </c>
      <c r="F1799" s="1">
        <f>Tabla1[[#This Row],[tiempo]]/(IF(Tabla1[[#This Row],[tamanho]]=$I$3,$L$3,IF(Tabla1[[#This Row],[tamanho]]=$I$4,$L$4,IF(Tabla1[[#This Row],[tamanho]]=$I$5,$L$5,IF(Tabla1[[#This Row],[tamanho]]=$I$6,$L$6,0))))*IF(C1799="8_1",9,25))</f>
        <v>2.3053355633853988E-6</v>
      </c>
    </row>
    <row r="1800" spans="1:6" ht="12.75" x14ac:dyDescent="0.2">
      <c r="A1800" s="1">
        <v>74</v>
      </c>
      <c r="B1800" s="1">
        <v>4</v>
      </c>
      <c r="C1800" s="1" t="s">
        <v>7</v>
      </c>
      <c r="D1800" s="1" t="s">
        <v>9</v>
      </c>
      <c r="E1800" s="1">
        <v>16.0150866508483</v>
      </c>
      <c r="F1800" s="1">
        <f>Tabla1[[#This Row],[tiempo]]/(IF(Tabla1[[#This Row],[tamanho]]=$I$3,$L$3,IF(Tabla1[[#This Row],[tamanho]]=$I$4,$L$4,IF(Tabla1[[#This Row],[tamanho]]=$I$5,$L$5,IF(Tabla1[[#This Row],[tamanho]]=$I$6,$L$6,0))))*IF(C1800="8_1",9,25))</f>
        <v>8.7061817637863934E-7</v>
      </c>
    </row>
    <row r="1801" spans="1:6" ht="12.75" x14ac:dyDescent="0.2">
      <c r="A1801" s="1">
        <v>74</v>
      </c>
      <c r="B1801" s="1">
        <v>4</v>
      </c>
      <c r="C1801" s="1" t="s">
        <v>8</v>
      </c>
      <c r="D1801" s="1" t="s">
        <v>9</v>
      </c>
      <c r="E1801" s="1">
        <v>16.176580667495699</v>
      </c>
      <c r="F1801" s="1">
        <f>Tabla1[[#This Row],[tiempo]]/(IF(Tabla1[[#This Row],[tamanho]]=$I$3,$L$3,IF(Tabla1[[#This Row],[tamanho]]=$I$4,$L$4,IF(Tabla1[[#This Row],[tamanho]]=$I$5,$L$5,IF(Tabla1[[#This Row],[tamanho]]=$I$6,$L$6,0))))*IF(C1801="8_1",9,25))</f>
        <v>8.793973749764923E-7</v>
      </c>
    </row>
    <row r="1802" spans="1:6" ht="12.75" x14ac:dyDescent="0.2">
      <c r="A1802" s="1">
        <v>75</v>
      </c>
      <c r="B1802" s="1">
        <v>1</v>
      </c>
      <c r="C1802" s="1" t="s">
        <v>5</v>
      </c>
      <c r="D1802" s="1" t="s">
        <v>6</v>
      </c>
      <c r="E1802" s="1">
        <v>0.913912773132324</v>
      </c>
      <c r="F1802" s="1">
        <f>Tabla1[[#This Row],[tiempo]]/(IF(Tabla1[[#This Row],[tamanho]]=$I$3,$L$3,IF(Tabla1[[#This Row],[tamanho]]=$I$4,$L$4,IF(Tabla1[[#This Row],[tamanho]]=$I$5,$L$5,IF(Tabla1[[#This Row],[tamanho]]=$I$6,$L$6,0))))*IF(C1802="8_1",9,25))</f>
        <v>3.7663982671773795E-6</v>
      </c>
    </row>
    <row r="1803" spans="1:6" ht="12.75" x14ac:dyDescent="0.2">
      <c r="A1803" s="1">
        <v>75</v>
      </c>
      <c r="B1803" s="1">
        <v>1</v>
      </c>
      <c r="C1803" s="1" t="s">
        <v>7</v>
      </c>
      <c r="D1803" s="1" t="s">
        <v>6</v>
      </c>
      <c r="E1803" s="1">
        <v>0.96481275558471602</v>
      </c>
      <c r="F1803" s="1">
        <f>Tabla1[[#This Row],[tiempo]]/(IF(Tabla1[[#This Row],[tamanho]]=$I$3,$L$3,IF(Tabla1[[#This Row],[tamanho]]=$I$4,$L$4,IF(Tabla1[[#This Row],[tamanho]]=$I$5,$L$5,IF(Tabla1[[#This Row],[tamanho]]=$I$6,$L$6,0))))*IF(C1803="8_1",9,25))</f>
        <v>1.4314198369269924E-6</v>
      </c>
    </row>
    <row r="1804" spans="1:6" ht="12.75" x14ac:dyDescent="0.2">
      <c r="A1804" s="1">
        <v>75</v>
      </c>
      <c r="B1804" s="1">
        <v>1</v>
      </c>
      <c r="C1804" s="1" t="s">
        <v>8</v>
      </c>
      <c r="D1804" s="1" t="s">
        <v>6</v>
      </c>
      <c r="E1804" s="1">
        <v>0.97111463546752896</v>
      </c>
      <c r="F1804" s="1">
        <f>Tabla1[[#This Row],[tiempo]]/(IF(Tabla1[[#This Row],[tamanho]]=$I$3,$L$3,IF(Tabla1[[#This Row],[tamanho]]=$I$4,$L$4,IF(Tabla1[[#This Row],[tamanho]]=$I$5,$L$5,IF(Tabla1[[#This Row],[tamanho]]=$I$6,$L$6,0))))*IF(C1804="8_1",9,25))</f>
        <v>1.4407694602834153E-6</v>
      </c>
    </row>
    <row r="1805" spans="1:6" ht="12.75" x14ac:dyDescent="0.2">
      <c r="A1805" s="1">
        <v>75</v>
      </c>
      <c r="B1805" s="1">
        <v>1</v>
      </c>
      <c r="C1805" s="1" t="s">
        <v>5</v>
      </c>
      <c r="D1805" s="1" t="s">
        <v>9</v>
      </c>
      <c r="E1805" s="1">
        <v>0.91564083099365201</v>
      </c>
      <c r="F1805" s="1">
        <f>Tabla1[[#This Row],[tiempo]]/(IF(Tabla1[[#This Row],[tamanho]]=$I$3,$L$3,IF(Tabla1[[#This Row],[tamanho]]=$I$4,$L$4,IF(Tabla1[[#This Row],[tamanho]]=$I$5,$L$5,IF(Tabla1[[#This Row],[tamanho]]=$I$6,$L$6,0))))*IF(C1805="8_1",9,25))</f>
        <v>3.7735199032085525E-6</v>
      </c>
    </row>
    <row r="1806" spans="1:6" ht="12.75" x14ac:dyDescent="0.2">
      <c r="A1806" s="1">
        <v>75</v>
      </c>
      <c r="B1806" s="1">
        <v>1</v>
      </c>
      <c r="C1806" s="1" t="s">
        <v>7</v>
      </c>
      <c r="D1806" s="1" t="s">
        <v>9</v>
      </c>
      <c r="E1806" s="1">
        <v>0.96672081947326605</v>
      </c>
      <c r="F1806" s="1">
        <f>Tabla1[[#This Row],[tiempo]]/(IF(Tabla1[[#This Row],[tamanho]]=$I$3,$L$3,IF(Tabla1[[#This Row],[tamanho]]=$I$4,$L$4,IF(Tabla1[[#This Row],[tamanho]]=$I$5,$L$5,IF(Tabla1[[#This Row],[tamanho]]=$I$6,$L$6,0))))*IF(C1806="8_1",9,25))</f>
        <v>1.434250687249384E-6</v>
      </c>
    </row>
    <row r="1807" spans="1:6" ht="12.75" x14ac:dyDescent="0.2">
      <c r="A1807" s="1">
        <v>75</v>
      </c>
      <c r="B1807" s="1">
        <v>1</v>
      </c>
      <c r="C1807" s="1" t="s">
        <v>8</v>
      </c>
      <c r="D1807" s="1" t="s">
        <v>9</v>
      </c>
      <c r="E1807" s="1">
        <v>0.97257471084594704</v>
      </c>
      <c r="F1807" s="1">
        <f>Tabla1[[#This Row],[tiempo]]/(IF(Tabla1[[#This Row],[tamanho]]=$I$3,$L$3,IF(Tabla1[[#This Row],[tamanho]]=$I$4,$L$4,IF(Tabla1[[#This Row],[tamanho]]=$I$5,$L$5,IF(Tabla1[[#This Row],[tamanho]]=$I$6,$L$6,0))))*IF(C1807="8_1",9,25))</f>
        <v>1.4429356638788577E-6</v>
      </c>
    </row>
    <row r="1808" spans="1:6" ht="12.75" x14ac:dyDescent="0.2">
      <c r="A1808" s="1">
        <v>75</v>
      </c>
      <c r="B1808" s="1">
        <v>2</v>
      </c>
      <c r="C1808" s="1" t="s">
        <v>5</v>
      </c>
      <c r="D1808" s="1" t="s">
        <v>6</v>
      </c>
      <c r="E1808" s="1">
        <v>1.68712329864501</v>
      </c>
      <c r="F1808" s="1">
        <f>Tabla1[[#This Row],[tiempo]]/(IF(Tabla1[[#This Row],[tamanho]]=$I$3,$L$3,IF(Tabla1[[#This Row],[tamanho]]=$I$4,$L$4,IF(Tabla1[[#This Row],[tamanho]]=$I$5,$L$5,IF(Tabla1[[#This Row],[tamanho]]=$I$6,$L$6,0))))*IF(C1808="8_1",9,25))</f>
        <v>1.0214478062242673E-6</v>
      </c>
    </row>
    <row r="1809" spans="1:6" ht="12.75" x14ac:dyDescent="0.2">
      <c r="A1809" s="1">
        <v>75</v>
      </c>
      <c r="B1809" s="1">
        <v>2</v>
      </c>
      <c r="C1809" s="1" t="s">
        <v>7</v>
      </c>
      <c r="D1809" s="1" t="s">
        <v>6</v>
      </c>
      <c r="E1809" s="1">
        <v>1.9038069248199401</v>
      </c>
      <c r="F1809" s="1">
        <f>Tabla1[[#This Row],[tiempo]]/(IF(Tabla1[[#This Row],[tamanho]]=$I$3,$L$3,IF(Tabla1[[#This Row],[tamanho]]=$I$4,$L$4,IF(Tabla1[[#This Row],[tamanho]]=$I$5,$L$5,IF(Tabla1[[#This Row],[tamanho]]=$I$6,$L$6,0))))*IF(C1809="8_1",9,25))</f>
        <v>4.1494903604362203E-7</v>
      </c>
    </row>
    <row r="1810" spans="1:6" ht="12.75" x14ac:dyDescent="0.2">
      <c r="A1810" s="1">
        <v>75</v>
      </c>
      <c r="B1810" s="1">
        <v>2</v>
      </c>
      <c r="C1810" s="1" t="s">
        <v>8</v>
      </c>
      <c r="D1810" s="1" t="s">
        <v>6</v>
      </c>
      <c r="E1810" s="1">
        <v>1.92071056365966</v>
      </c>
      <c r="F1810" s="1">
        <f>Tabla1[[#This Row],[tiempo]]/(IF(Tabla1[[#This Row],[tamanho]]=$I$3,$L$3,IF(Tabla1[[#This Row],[tamanho]]=$I$4,$L$4,IF(Tabla1[[#This Row],[tamanho]]=$I$5,$L$5,IF(Tabla1[[#This Row],[tamanho]]=$I$6,$L$6,0))))*IF(C1810="8_1",9,25))</f>
        <v>4.1863331124544413E-7</v>
      </c>
    </row>
    <row r="1811" spans="1:6" ht="12.75" x14ac:dyDescent="0.2">
      <c r="A1811" s="1">
        <v>75</v>
      </c>
      <c r="B1811" s="1">
        <v>2</v>
      </c>
      <c r="C1811" s="1" t="s">
        <v>5</v>
      </c>
      <c r="D1811" s="1" t="s">
        <v>9</v>
      </c>
      <c r="E1811" s="1">
        <v>1.7109169960021899</v>
      </c>
      <c r="F1811" s="1">
        <f>Tabla1[[#This Row],[tiempo]]/(IF(Tabla1[[#This Row],[tamanho]]=$I$3,$L$3,IF(Tabla1[[#This Row],[tamanho]]=$I$4,$L$4,IF(Tabla1[[#This Row],[tamanho]]=$I$5,$L$5,IF(Tabla1[[#This Row],[tamanho]]=$I$6,$L$6,0))))*IF(C1811="8_1",9,25))</f>
        <v>1.0358534041950707E-6</v>
      </c>
    </row>
    <row r="1812" spans="1:6" ht="12.75" x14ac:dyDescent="0.2">
      <c r="A1812" s="1">
        <v>75</v>
      </c>
      <c r="B1812" s="1">
        <v>2</v>
      </c>
      <c r="C1812" s="1" t="s">
        <v>7</v>
      </c>
      <c r="D1812" s="1" t="s">
        <v>9</v>
      </c>
      <c r="E1812" s="1">
        <v>1.9013030529022199</v>
      </c>
      <c r="F1812" s="1">
        <f>Tabla1[[#This Row],[tiempo]]/(IF(Tabla1[[#This Row],[tamanho]]=$I$3,$L$3,IF(Tabla1[[#This Row],[tamanho]]=$I$4,$L$4,IF(Tabla1[[#This Row],[tamanho]]=$I$5,$L$5,IF(Tabla1[[#This Row],[tamanho]]=$I$6,$L$6,0))))*IF(C1812="8_1",9,25))</f>
        <v>4.1440329832983945E-7</v>
      </c>
    </row>
    <row r="1813" spans="1:6" ht="12.75" x14ac:dyDescent="0.2">
      <c r="A1813" s="1">
        <v>75</v>
      </c>
      <c r="B1813" s="1">
        <v>2</v>
      </c>
      <c r="C1813" s="1" t="s">
        <v>8</v>
      </c>
      <c r="D1813" s="1" t="s">
        <v>9</v>
      </c>
      <c r="E1813" s="1">
        <v>1.9234757423400799</v>
      </c>
      <c r="F1813" s="1">
        <f>Tabla1[[#This Row],[tiempo]]/(IF(Tabla1[[#This Row],[tamanho]]=$I$3,$L$3,IF(Tabla1[[#This Row],[tamanho]]=$I$4,$L$4,IF(Tabla1[[#This Row],[tamanho]]=$I$5,$L$5,IF(Tabla1[[#This Row],[tamanho]]=$I$6,$L$6,0))))*IF(C1813="8_1",9,25))</f>
        <v>4.1923600273320473E-7</v>
      </c>
    </row>
    <row r="1814" spans="1:6" ht="12.75" x14ac:dyDescent="0.2">
      <c r="A1814" s="1">
        <v>75</v>
      </c>
      <c r="B1814" s="1">
        <v>3</v>
      </c>
      <c r="C1814" s="1" t="s">
        <v>5</v>
      </c>
      <c r="D1814" s="1" t="s">
        <v>6</v>
      </c>
      <c r="E1814" s="1">
        <v>3.85504817962646</v>
      </c>
      <c r="F1814" s="1">
        <f>Tabla1[[#This Row],[tiempo]]/(IF(Tabla1[[#This Row],[tamanho]]=$I$3,$L$3,IF(Tabla1[[#This Row],[tamanho]]=$I$4,$L$4,IF(Tabla1[[#This Row],[tamanho]]=$I$5,$L$5,IF(Tabla1[[#This Row],[tamanho]]=$I$6,$L$6,0))))*IF(C1814="8_1",9,25))</f>
        <v>1.0365047238015507E-6</v>
      </c>
    </row>
    <row r="1815" spans="1:6" ht="12.75" x14ac:dyDescent="0.2">
      <c r="A1815" s="1">
        <v>75</v>
      </c>
      <c r="B1815" s="1">
        <v>3</v>
      </c>
      <c r="C1815" s="1" t="s">
        <v>7</v>
      </c>
      <c r="D1815" s="1" t="s">
        <v>6</v>
      </c>
      <c r="E1815" s="1">
        <v>4.3247983455657897</v>
      </c>
      <c r="F1815" s="1">
        <f>Tabla1[[#This Row],[tiempo]]/(IF(Tabla1[[#This Row],[tamanho]]=$I$3,$L$3,IF(Tabla1[[#This Row],[tamanho]]=$I$4,$L$4,IF(Tabla1[[#This Row],[tamanho]]=$I$5,$L$5,IF(Tabla1[[#This Row],[tamanho]]=$I$6,$L$6,0))))*IF(C1815="8_1",9,25))</f>
        <v>4.1861023107547091E-7</v>
      </c>
    </row>
    <row r="1816" spans="1:6" ht="12.75" x14ac:dyDescent="0.2">
      <c r="A1816" s="1">
        <v>75</v>
      </c>
      <c r="B1816" s="1">
        <v>3</v>
      </c>
      <c r="C1816" s="1" t="s">
        <v>8</v>
      </c>
      <c r="D1816" s="1" t="s">
        <v>6</v>
      </c>
      <c r="E1816" s="1">
        <v>4.3485465049743599</v>
      </c>
      <c r="F1816" s="1">
        <f>Tabla1[[#This Row],[tiempo]]/(IF(Tabla1[[#This Row],[tamanho]]=$I$3,$L$3,IF(Tabla1[[#This Row],[tamanho]]=$I$4,$L$4,IF(Tabla1[[#This Row],[tamanho]]=$I$5,$L$5,IF(Tabla1[[#This Row],[tamanho]]=$I$6,$L$6,0))))*IF(C1816="8_1",9,25))</f>
        <v>4.2090888680535751E-7</v>
      </c>
    </row>
    <row r="1817" spans="1:6" ht="12.75" x14ac:dyDescent="0.2">
      <c r="A1817" s="1">
        <v>75</v>
      </c>
      <c r="B1817" s="1">
        <v>3</v>
      </c>
      <c r="C1817" s="1" t="s">
        <v>5</v>
      </c>
      <c r="D1817" s="1" t="s">
        <v>9</v>
      </c>
      <c r="E1817" s="1">
        <v>3.8764700889587398</v>
      </c>
      <c r="F1817" s="1">
        <f>Tabla1[[#This Row],[tiempo]]/(IF(Tabla1[[#This Row],[tamanho]]=$I$3,$L$3,IF(Tabla1[[#This Row],[tamanho]]=$I$4,$L$4,IF(Tabla1[[#This Row],[tamanho]]=$I$5,$L$5,IF(Tabla1[[#This Row],[tamanho]]=$I$6,$L$6,0))))*IF(C1817="8_1",9,25))</f>
        <v>1.0422644210040661E-6</v>
      </c>
    </row>
    <row r="1818" spans="1:6" ht="12.75" x14ac:dyDescent="0.2">
      <c r="A1818" s="1">
        <v>75</v>
      </c>
      <c r="B1818" s="1">
        <v>3</v>
      </c>
      <c r="C1818" s="1" t="s">
        <v>7</v>
      </c>
      <c r="D1818" s="1" t="s">
        <v>9</v>
      </c>
      <c r="E1818" s="1">
        <v>4.3327476978302002</v>
      </c>
      <c r="F1818" s="1">
        <f>Tabla1[[#This Row],[tiempo]]/(IF(Tabla1[[#This Row],[tamanho]]=$I$3,$L$3,IF(Tabla1[[#This Row],[tamanho]]=$I$4,$L$4,IF(Tabla1[[#This Row],[tamanho]]=$I$5,$L$5,IF(Tabla1[[#This Row],[tamanho]]=$I$6,$L$6,0))))*IF(C1818="8_1",9,25))</f>
        <v>4.1937967277480869E-7</v>
      </c>
    </row>
    <row r="1819" spans="1:6" ht="12.75" x14ac:dyDescent="0.2">
      <c r="A1819" s="1">
        <v>75</v>
      </c>
      <c r="B1819" s="1">
        <v>3</v>
      </c>
      <c r="C1819" s="1" t="s">
        <v>8</v>
      </c>
      <c r="D1819" s="1" t="s">
        <v>9</v>
      </c>
      <c r="E1819" s="1">
        <v>4.3727736473083496</v>
      </c>
      <c r="F1819" s="1">
        <f>Tabla1[[#This Row],[tiempo]]/(IF(Tabla1[[#This Row],[tamanho]]=$I$3,$L$3,IF(Tabla1[[#This Row],[tamanho]]=$I$4,$L$4,IF(Tabla1[[#This Row],[tamanho]]=$I$5,$L$5,IF(Tabla1[[#This Row],[tamanho]]=$I$6,$L$6,0))))*IF(C1819="8_1",9,25))</f>
        <v>4.2325390473229228E-7</v>
      </c>
    </row>
    <row r="1820" spans="1:6" ht="12.75" x14ac:dyDescent="0.2">
      <c r="A1820" s="1">
        <v>75</v>
      </c>
      <c r="B1820" s="1">
        <v>4</v>
      </c>
      <c r="C1820" s="1" t="s">
        <v>5</v>
      </c>
      <c r="D1820" s="1" t="s">
        <v>6</v>
      </c>
      <c r="E1820" s="1">
        <v>6.9303214550018302</v>
      </c>
      <c r="F1820" s="1">
        <f>Tabla1[[#This Row],[tiempo]]/(IF(Tabla1[[#This Row],[tamanho]]=$I$3,$L$3,IF(Tabla1[[#This Row],[tamanho]]=$I$4,$L$4,IF(Tabla1[[#This Row],[tamanho]]=$I$5,$L$5,IF(Tabla1[[#This Row],[tamanho]]=$I$6,$L$6,0))))*IF(C1820="8_1",9,25))</f>
        <v>1.0465242968871091E-6</v>
      </c>
    </row>
    <row r="1821" spans="1:6" ht="12.75" x14ac:dyDescent="0.2">
      <c r="A1821" s="1">
        <v>75</v>
      </c>
      <c r="B1821" s="1">
        <v>4</v>
      </c>
      <c r="C1821" s="1" t="s">
        <v>7</v>
      </c>
      <c r="D1821" s="1" t="s">
        <v>6</v>
      </c>
      <c r="E1821" s="1">
        <v>7.78006887435913</v>
      </c>
      <c r="F1821" s="1">
        <f>Tabla1[[#This Row],[tiempo]]/(IF(Tabla1[[#This Row],[tamanho]]=$I$3,$L$3,IF(Tabla1[[#This Row],[tamanho]]=$I$4,$L$4,IF(Tabla1[[#This Row],[tamanho]]=$I$5,$L$5,IF(Tabla1[[#This Row],[tamanho]]=$I$6,$L$6,0))))*IF(C1821="8_1",9,25))</f>
        <v>4.2294303634854056E-7</v>
      </c>
    </row>
    <row r="1822" spans="1:6" ht="12.75" x14ac:dyDescent="0.2">
      <c r="A1822" s="1">
        <v>75</v>
      </c>
      <c r="B1822" s="1">
        <v>4</v>
      </c>
      <c r="C1822" s="1" t="s">
        <v>8</v>
      </c>
      <c r="D1822" s="1" t="s">
        <v>6</v>
      </c>
      <c r="E1822" s="1">
        <v>7.7675597667694003</v>
      </c>
      <c r="F1822" s="1">
        <f>Tabla1[[#This Row],[tiempo]]/(IF(Tabla1[[#This Row],[tamanho]]=$I$3,$L$3,IF(Tabla1[[#This Row],[tamanho]]=$I$4,$L$4,IF(Tabla1[[#This Row],[tamanho]]=$I$5,$L$5,IF(Tabla1[[#This Row],[tamanho]]=$I$6,$L$6,0))))*IF(C1822="8_1",9,25))</f>
        <v>4.222630115272376E-7</v>
      </c>
    </row>
    <row r="1823" spans="1:6" ht="12.75" x14ac:dyDescent="0.2">
      <c r="A1823" s="1">
        <v>75</v>
      </c>
      <c r="B1823" s="1">
        <v>4</v>
      </c>
      <c r="C1823" s="1" t="s">
        <v>5</v>
      </c>
      <c r="D1823" s="1" t="s">
        <v>9</v>
      </c>
      <c r="E1823" s="1">
        <v>6.9571633338928196</v>
      </c>
      <c r="F1823" s="1">
        <f>Tabla1[[#This Row],[tiempo]]/(IF(Tabla1[[#This Row],[tamanho]]=$I$3,$L$3,IF(Tabla1[[#This Row],[tamanho]]=$I$4,$L$4,IF(Tabla1[[#This Row],[tamanho]]=$I$5,$L$5,IF(Tabla1[[#This Row],[tamanho]]=$I$6,$L$6,0))))*IF(C1823="8_1",9,25))</f>
        <v>1.0505775978221254E-6</v>
      </c>
    </row>
    <row r="1824" spans="1:6" ht="12.75" x14ac:dyDescent="0.2">
      <c r="A1824" s="1">
        <v>75</v>
      </c>
      <c r="B1824" s="1">
        <v>4</v>
      </c>
      <c r="C1824" s="1" t="s">
        <v>7</v>
      </c>
      <c r="D1824" s="1" t="s">
        <v>9</v>
      </c>
      <c r="E1824" s="1">
        <v>7.7779986858367902</v>
      </c>
      <c r="F1824" s="1">
        <f>Tabla1[[#This Row],[tiempo]]/(IF(Tabla1[[#This Row],[tamanho]]=$I$3,$L$3,IF(Tabla1[[#This Row],[tamanho]]=$I$4,$L$4,IF(Tabla1[[#This Row],[tamanho]]=$I$5,$L$5,IF(Tabla1[[#This Row],[tamanho]]=$I$6,$L$6,0))))*IF(C1824="8_1",9,25))</f>
        <v>4.2283049597986363E-7</v>
      </c>
    </row>
    <row r="1825" spans="1:6" ht="12.75" x14ac:dyDescent="0.2">
      <c r="A1825" s="1">
        <v>75</v>
      </c>
      <c r="B1825" s="1">
        <v>4</v>
      </c>
      <c r="C1825" s="1" t="s">
        <v>8</v>
      </c>
      <c r="D1825" s="1" t="s">
        <v>9</v>
      </c>
      <c r="E1825" s="1">
        <v>7.8247163295745796</v>
      </c>
      <c r="F1825" s="1">
        <f>Tabla1[[#This Row],[tiempo]]/(IF(Tabla1[[#This Row],[tamanho]]=$I$3,$L$3,IF(Tabla1[[#This Row],[tamanho]]=$I$4,$L$4,IF(Tabla1[[#This Row],[tamanho]]=$I$5,$L$5,IF(Tabla1[[#This Row],[tamanho]]=$I$6,$L$6,0))))*IF(C1825="8_1",9,25))</f>
        <v>4.2537017813597278E-7</v>
      </c>
    </row>
    <row r="1826" spans="1:6" ht="12.75" x14ac:dyDescent="0.2">
      <c r="A1826" s="1">
        <v>76</v>
      </c>
      <c r="B1826" s="1">
        <v>1</v>
      </c>
      <c r="C1826" s="1" t="s">
        <v>5</v>
      </c>
      <c r="D1826" s="1" t="s">
        <v>6</v>
      </c>
      <c r="E1826" s="1">
        <v>0.410634756088256</v>
      </c>
      <c r="F1826" s="1">
        <f>Tabla1[[#This Row],[tiempo]]/(IF(Tabla1[[#This Row],[tamanho]]=$I$3,$L$3,IF(Tabla1[[#This Row],[tamanho]]=$I$4,$L$4,IF(Tabla1[[#This Row],[tamanho]]=$I$5,$L$5,IF(Tabla1[[#This Row],[tamanho]]=$I$6,$L$6,0))))*IF(C1826="8_1",9,25))</f>
        <v>1.6922993957867372E-6</v>
      </c>
    </row>
    <row r="1827" spans="1:6" ht="12.75" x14ac:dyDescent="0.2">
      <c r="A1827" s="1">
        <v>76</v>
      </c>
      <c r="B1827" s="1">
        <v>1</v>
      </c>
      <c r="C1827" s="1" t="s">
        <v>7</v>
      </c>
      <c r="D1827" s="1" t="s">
        <v>6</v>
      </c>
      <c r="E1827" s="1">
        <v>0.462609052658081</v>
      </c>
      <c r="F1827" s="1">
        <f>Tabla1[[#This Row],[tiempo]]/(IF(Tabla1[[#This Row],[tamanho]]=$I$3,$L$3,IF(Tabla1[[#This Row],[tamanho]]=$I$4,$L$4,IF(Tabla1[[#This Row],[tamanho]]=$I$5,$L$5,IF(Tabla1[[#This Row],[tamanho]]=$I$6,$L$6,0))))*IF(C1827="8_1",9,25))</f>
        <v>6.863381219659226E-7</v>
      </c>
    </row>
    <row r="1828" spans="1:6" ht="12.75" x14ac:dyDescent="0.2">
      <c r="A1828" s="1">
        <v>76</v>
      </c>
      <c r="B1828" s="1">
        <v>1</v>
      </c>
      <c r="C1828" s="1" t="s">
        <v>8</v>
      </c>
      <c r="D1828" s="1" t="s">
        <v>6</v>
      </c>
      <c r="E1828" s="1">
        <v>0.46425604820251398</v>
      </c>
      <c r="F1828" s="1">
        <f>Tabla1[[#This Row],[tiempo]]/(IF(Tabla1[[#This Row],[tamanho]]=$I$3,$L$3,IF(Tabla1[[#This Row],[tamanho]]=$I$4,$L$4,IF(Tabla1[[#This Row],[tamanho]]=$I$5,$L$5,IF(Tabla1[[#This Row],[tamanho]]=$I$6,$L$6,0))))*IF(C1828="8_1",9,25))</f>
        <v>6.8878164489820706E-7</v>
      </c>
    </row>
    <row r="1829" spans="1:6" ht="12.75" x14ac:dyDescent="0.2">
      <c r="A1829" s="1">
        <v>76</v>
      </c>
      <c r="B1829" s="1">
        <v>1</v>
      </c>
      <c r="C1829" s="1" t="s">
        <v>5</v>
      </c>
      <c r="D1829" s="1" t="s">
        <v>9</v>
      </c>
      <c r="E1829" s="1">
        <v>0.40818619728088301</v>
      </c>
      <c r="F1829" s="1">
        <f>Tabla1[[#This Row],[tiempo]]/(IF(Tabla1[[#This Row],[tamanho]]=$I$3,$L$3,IF(Tabla1[[#This Row],[tamanho]]=$I$4,$L$4,IF(Tabla1[[#This Row],[tamanho]]=$I$5,$L$5,IF(Tabla1[[#This Row],[tamanho]]=$I$6,$L$6,0))))*IF(C1829="8_1",9,25))</f>
        <v>1.6822084462778871E-6</v>
      </c>
    </row>
    <row r="1830" spans="1:6" ht="12.75" x14ac:dyDescent="0.2">
      <c r="A1830" s="1">
        <v>76</v>
      </c>
      <c r="B1830" s="1">
        <v>1</v>
      </c>
      <c r="C1830" s="1" t="s">
        <v>7</v>
      </c>
      <c r="D1830" s="1" t="s">
        <v>9</v>
      </c>
      <c r="E1830" s="1">
        <v>0.46016263961791898</v>
      </c>
      <c r="F1830" s="1">
        <f>Tabla1[[#This Row],[tiempo]]/(IF(Tabla1[[#This Row],[tamanho]]=$I$3,$L$3,IF(Tabla1[[#This Row],[tamanho]]=$I$4,$L$4,IF(Tabla1[[#This Row],[tamanho]]=$I$5,$L$5,IF(Tabla1[[#This Row],[tamanho]]=$I$6,$L$6,0))))*IF(C1830="8_1",9,25))</f>
        <v>6.8270856365553053E-7</v>
      </c>
    </row>
    <row r="1831" spans="1:6" ht="12.75" x14ac:dyDescent="0.2">
      <c r="A1831" s="1">
        <v>76</v>
      </c>
      <c r="B1831" s="1">
        <v>1</v>
      </c>
      <c r="C1831" s="1" t="s">
        <v>8</v>
      </c>
      <c r="D1831" s="1" t="s">
        <v>9</v>
      </c>
      <c r="E1831" s="1">
        <v>0.46983146667480402</v>
      </c>
      <c r="F1831" s="1">
        <f>Tabla1[[#This Row],[tiempo]]/(IF(Tabla1[[#This Row],[tamanho]]=$I$3,$L$3,IF(Tabla1[[#This Row],[tamanho]]=$I$4,$L$4,IF(Tabla1[[#This Row],[tamanho]]=$I$5,$L$5,IF(Tabla1[[#This Row],[tamanho]]=$I$6,$L$6,0))))*IF(C1831="8_1",9,25))</f>
        <v>6.9705347231156715E-7</v>
      </c>
    </row>
    <row r="1832" spans="1:6" ht="12.75" x14ac:dyDescent="0.2">
      <c r="A1832" s="1">
        <v>76</v>
      </c>
      <c r="B1832" s="1">
        <v>2</v>
      </c>
      <c r="C1832" s="1" t="s">
        <v>5</v>
      </c>
      <c r="D1832" s="1" t="s">
        <v>6</v>
      </c>
      <c r="E1832" s="1">
        <v>1.6998419761657699</v>
      </c>
      <c r="F1832" s="1">
        <f>Tabla1[[#This Row],[tiempo]]/(IF(Tabla1[[#This Row],[tamanho]]=$I$3,$L$3,IF(Tabla1[[#This Row],[tamanho]]=$I$4,$L$4,IF(Tabla1[[#This Row],[tamanho]]=$I$5,$L$5,IF(Tabla1[[#This Row],[tamanho]]=$I$6,$L$6,0))))*IF(C1832="8_1",9,25))</f>
        <v>1.0291481712551386E-6</v>
      </c>
    </row>
    <row r="1833" spans="1:6" ht="12.75" x14ac:dyDescent="0.2">
      <c r="A1833" s="1">
        <v>76</v>
      </c>
      <c r="B1833" s="1">
        <v>2</v>
      </c>
      <c r="C1833" s="1" t="s">
        <v>7</v>
      </c>
      <c r="D1833" s="1" t="s">
        <v>6</v>
      </c>
      <c r="E1833" s="1">
        <v>1.9138274192810001</v>
      </c>
      <c r="F1833" s="1">
        <f>Tabla1[[#This Row],[tiempo]]/(IF(Tabla1[[#This Row],[tamanho]]=$I$3,$L$3,IF(Tabla1[[#This Row],[tamanho]]=$I$4,$L$4,IF(Tabla1[[#This Row],[tamanho]]=$I$5,$L$5,IF(Tabla1[[#This Row],[tamanho]]=$I$6,$L$6,0))))*IF(C1833="8_1",9,25))</f>
        <v>4.1713307816632341E-7</v>
      </c>
    </row>
    <row r="1834" spans="1:6" ht="12.75" x14ac:dyDescent="0.2">
      <c r="A1834" s="1">
        <v>76</v>
      </c>
      <c r="B1834" s="1">
        <v>2</v>
      </c>
      <c r="C1834" s="1" t="s">
        <v>8</v>
      </c>
      <c r="D1834" s="1" t="s">
        <v>6</v>
      </c>
      <c r="E1834" s="1">
        <v>1.9288201332092201</v>
      </c>
      <c r="F1834" s="1">
        <f>Tabla1[[#This Row],[tiempo]]/(IF(Tabla1[[#This Row],[tamanho]]=$I$3,$L$3,IF(Tabla1[[#This Row],[tamanho]]=$I$4,$L$4,IF(Tabla1[[#This Row],[tamanho]]=$I$5,$L$5,IF(Tabla1[[#This Row],[tamanho]]=$I$6,$L$6,0))))*IF(C1834="8_1",9,25))</f>
        <v>4.2040085291337717E-7</v>
      </c>
    </row>
    <row r="1835" spans="1:6" ht="12.75" x14ac:dyDescent="0.2">
      <c r="A1835" s="1">
        <v>76</v>
      </c>
      <c r="B1835" s="1">
        <v>2</v>
      </c>
      <c r="C1835" s="1" t="s">
        <v>5</v>
      </c>
      <c r="D1835" s="1" t="s">
        <v>9</v>
      </c>
      <c r="E1835" s="1">
        <v>1.70578217506408</v>
      </c>
      <c r="F1835" s="1">
        <f>Tabla1[[#This Row],[tiempo]]/(IF(Tabla1[[#This Row],[tamanho]]=$I$3,$L$3,IF(Tabla1[[#This Row],[tamanho]]=$I$4,$L$4,IF(Tabla1[[#This Row],[tamanho]]=$I$5,$L$5,IF(Tabla1[[#This Row],[tamanho]]=$I$6,$L$6,0))))*IF(C1835="8_1",9,25))</f>
        <v>1.0327445907569544E-6</v>
      </c>
    </row>
    <row r="1836" spans="1:6" ht="12.75" x14ac:dyDescent="0.2">
      <c r="A1836" s="1">
        <v>76</v>
      </c>
      <c r="B1836" s="1">
        <v>2</v>
      </c>
      <c r="C1836" s="1" t="s">
        <v>7</v>
      </c>
      <c r="D1836" s="1" t="s">
        <v>9</v>
      </c>
      <c r="E1836" s="1">
        <v>1.9152226448059</v>
      </c>
      <c r="F1836" s="1">
        <f>Tabla1[[#This Row],[tiempo]]/(IF(Tabla1[[#This Row],[tamanho]]=$I$3,$L$3,IF(Tabla1[[#This Row],[tamanho]]=$I$4,$L$4,IF(Tabla1[[#This Row],[tamanho]]=$I$5,$L$5,IF(Tabla1[[#This Row],[tamanho]]=$I$6,$L$6,0))))*IF(C1836="8_1",9,25))</f>
        <v>4.1743717806168199E-7</v>
      </c>
    </row>
    <row r="1837" spans="1:6" ht="12.75" x14ac:dyDescent="0.2">
      <c r="A1837" s="1">
        <v>76</v>
      </c>
      <c r="B1837" s="1">
        <v>2</v>
      </c>
      <c r="C1837" s="1" t="s">
        <v>8</v>
      </c>
      <c r="D1837" s="1" t="s">
        <v>9</v>
      </c>
      <c r="E1837" s="1">
        <v>1.93952536582946</v>
      </c>
      <c r="F1837" s="1">
        <f>Tabla1[[#This Row],[tiempo]]/(IF(Tabla1[[#This Row],[tamanho]]=$I$3,$L$3,IF(Tabla1[[#This Row],[tamanho]]=$I$4,$L$4,IF(Tabla1[[#This Row],[tamanho]]=$I$5,$L$5,IF(Tabla1[[#This Row],[tamanho]]=$I$6,$L$6,0))))*IF(C1837="8_1",9,25))</f>
        <v>4.2273413886715708E-7</v>
      </c>
    </row>
    <row r="1838" spans="1:6" ht="12.75" x14ac:dyDescent="0.2">
      <c r="A1838" s="1">
        <v>76</v>
      </c>
      <c r="B1838" s="1">
        <v>3</v>
      </c>
      <c r="C1838" s="1" t="s">
        <v>5</v>
      </c>
      <c r="D1838" s="1" t="s">
        <v>6</v>
      </c>
      <c r="E1838" s="1">
        <v>3.8712565898895201</v>
      </c>
      <c r="F1838" s="1">
        <f>Tabla1[[#This Row],[tiempo]]/(IF(Tabla1[[#This Row],[tamanho]]=$I$3,$L$3,IF(Tabla1[[#This Row],[tamanho]]=$I$4,$L$4,IF(Tabla1[[#This Row],[tamanho]]=$I$5,$L$5,IF(Tabla1[[#This Row],[tamanho]]=$I$6,$L$6,0))))*IF(C1838="8_1",9,25))</f>
        <v>1.0408626703226246E-6</v>
      </c>
    </row>
    <row r="1839" spans="1:6" ht="12.75" x14ac:dyDescent="0.2">
      <c r="A1839" s="1">
        <v>76</v>
      </c>
      <c r="B1839" s="1">
        <v>3</v>
      </c>
      <c r="C1839" s="1" t="s">
        <v>7</v>
      </c>
      <c r="D1839" s="1" t="s">
        <v>6</v>
      </c>
      <c r="E1839" s="1">
        <v>4.3187239170074401</v>
      </c>
      <c r="F1839" s="1">
        <f>Tabla1[[#This Row],[tiempo]]/(IF(Tabla1[[#This Row],[tamanho]]=$I$3,$L$3,IF(Tabla1[[#This Row],[tamanho]]=$I$4,$L$4,IF(Tabla1[[#This Row],[tamanho]]=$I$5,$L$5,IF(Tabla1[[#This Row],[tamanho]]=$I$6,$L$6,0))))*IF(C1839="8_1",9,25))</f>
        <v>4.1802226887717112E-7</v>
      </c>
    </row>
    <row r="1840" spans="1:6" ht="12.75" x14ac:dyDescent="0.2">
      <c r="A1840" s="1">
        <v>76</v>
      </c>
      <c r="B1840" s="1">
        <v>3</v>
      </c>
      <c r="C1840" s="1" t="s">
        <v>8</v>
      </c>
      <c r="D1840" s="1" t="s">
        <v>6</v>
      </c>
      <c r="E1840" s="1">
        <v>4.3376128673553396</v>
      </c>
      <c r="F1840" s="1">
        <f>Tabla1[[#This Row],[tiempo]]/(IF(Tabla1[[#This Row],[tamanho]]=$I$3,$L$3,IF(Tabla1[[#This Row],[tamanho]]=$I$4,$L$4,IF(Tabla1[[#This Row],[tamanho]]=$I$5,$L$5,IF(Tabla1[[#This Row],[tamanho]]=$I$6,$L$6,0))))*IF(C1840="8_1",9,25))</f>
        <v>4.1985058715656896E-7</v>
      </c>
    </row>
    <row r="1841" spans="1:6" ht="12.75" x14ac:dyDescent="0.2">
      <c r="A1841" s="1">
        <v>76</v>
      </c>
      <c r="B1841" s="1">
        <v>3</v>
      </c>
      <c r="C1841" s="1" t="s">
        <v>5</v>
      </c>
      <c r="D1841" s="1" t="s">
        <v>9</v>
      </c>
      <c r="E1841" s="1">
        <v>3.8652465343475302</v>
      </c>
      <c r="F1841" s="1">
        <f>Tabla1[[#This Row],[tiempo]]/(IF(Tabla1[[#This Row],[tamanho]]=$I$3,$L$3,IF(Tabla1[[#This Row],[tamanho]]=$I$4,$L$4,IF(Tabla1[[#This Row],[tamanho]]=$I$5,$L$5,IF(Tabla1[[#This Row],[tamanho]]=$I$6,$L$6,0))))*IF(C1841="8_1",9,25))</f>
        <v>1.0392467499321858E-6</v>
      </c>
    </row>
    <row r="1842" spans="1:6" ht="12.75" x14ac:dyDescent="0.2">
      <c r="A1842" s="1">
        <v>76</v>
      </c>
      <c r="B1842" s="1">
        <v>3</v>
      </c>
      <c r="C1842" s="1" t="s">
        <v>7</v>
      </c>
      <c r="D1842" s="1" t="s">
        <v>9</v>
      </c>
      <c r="E1842" s="1">
        <v>4.3234698772430402</v>
      </c>
      <c r="F1842" s="1">
        <f>Tabla1[[#This Row],[tiempo]]/(IF(Tabla1[[#This Row],[tamanho]]=$I$3,$L$3,IF(Tabla1[[#This Row],[tamanho]]=$I$4,$L$4,IF(Tabla1[[#This Row],[tamanho]]=$I$5,$L$5,IF(Tabla1[[#This Row],[tamanho]]=$I$6,$L$6,0))))*IF(C1842="8_1",9,25))</f>
        <v>4.184816446334851E-7</v>
      </c>
    </row>
    <row r="1843" spans="1:6" ht="12.75" x14ac:dyDescent="0.2">
      <c r="A1843" s="1">
        <v>76</v>
      </c>
      <c r="B1843" s="1">
        <v>3</v>
      </c>
      <c r="C1843" s="1" t="s">
        <v>8</v>
      </c>
      <c r="D1843" s="1" t="s">
        <v>9</v>
      </c>
      <c r="E1843" s="1">
        <v>4.3679556846618599</v>
      </c>
      <c r="F1843" s="1">
        <f>Tabla1[[#This Row],[tiempo]]/(IF(Tabla1[[#This Row],[tamanho]]=$I$3,$L$3,IF(Tabla1[[#This Row],[tamanho]]=$I$4,$L$4,IF(Tabla1[[#This Row],[tamanho]]=$I$5,$L$5,IF(Tabla1[[#This Row],[tamanho]]=$I$6,$L$6,0))))*IF(C1843="8_1",9,25))</f>
        <v>4.2278755964620803E-7</v>
      </c>
    </row>
    <row r="1844" spans="1:6" ht="12.75" x14ac:dyDescent="0.2">
      <c r="A1844" s="1">
        <v>76</v>
      </c>
      <c r="B1844" s="1">
        <v>4</v>
      </c>
      <c r="C1844" s="1" t="s">
        <v>5</v>
      </c>
      <c r="D1844" s="1" t="s">
        <v>6</v>
      </c>
      <c r="E1844" s="1">
        <v>6.81886863708496</v>
      </c>
      <c r="F1844" s="1">
        <f>Tabla1[[#This Row],[tiempo]]/(IF(Tabla1[[#This Row],[tamanho]]=$I$3,$L$3,IF(Tabla1[[#This Row],[tamanho]]=$I$4,$L$4,IF(Tabla1[[#This Row],[tamanho]]=$I$5,$L$5,IF(Tabla1[[#This Row],[tamanho]]=$I$6,$L$6,0))))*IF(C1844="8_1",9,25))</f>
        <v>1.0296941855187025E-6</v>
      </c>
    </row>
    <row r="1845" spans="1:6" ht="12.75" x14ac:dyDescent="0.2">
      <c r="A1845" s="1">
        <v>76</v>
      </c>
      <c r="B1845" s="1">
        <v>4</v>
      </c>
      <c r="C1845" s="1" t="s">
        <v>7</v>
      </c>
      <c r="D1845" s="1" t="s">
        <v>6</v>
      </c>
      <c r="E1845" s="1">
        <v>7.7275397777557302</v>
      </c>
      <c r="F1845" s="1">
        <f>Tabla1[[#This Row],[tiempo]]/(IF(Tabla1[[#This Row],[tamanho]]=$I$3,$L$3,IF(Tabla1[[#This Row],[tamanho]]=$I$4,$L$4,IF(Tabla1[[#This Row],[tamanho]]=$I$5,$L$5,IF(Tabla1[[#This Row],[tamanho]]=$I$6,$L$6,0))))*IF(C1845="8_1",9,25))</f>
        <v>4.200874298014947E-7</v>
      </c>
    </row>
    <row r="1846" spans="1:6" ht="12.75" x14ac:dyDescent="0.2">
      <c r="A1846" s="1">
        <v>76</v>
      </c>
      <c r="B1846" s="1">
        <v>4</v>
      </c>
      <c r="C1846" s="1" t="s">
        <v>8</v>
      </c>
      <c r="D1846" s="1" t="s">
        <v>6</v>
      </c>
      <c r="E1846" s="1">
        <v>7.7384614944457999</v>
      </c>
      <c r="F1846" s="1">
        <f>Tabla1[[#This Row],[tiempo]]/(IF(Tabla1[[#This Row],[tamanho]]=$I$3,$L$3,IF(Tabla1[[#This Row],[tamanho]]=$I$4,$L$4,IF(Tabla1[[#This Row],[tamanho]]=$I$5,$L$5,IF(Tabla1[[#This Row],[tamanho]]=$I$6,$L$6,0))))*IF(C1846="8_1",9,25))</f>
        <v>4.2068116028044462E-7</v>
      </c>
    </row>
    <row r="1847" spans="1:6" ht="12.75" x14ac:dyDescent="0.2">
      <c r="A1847" s="1">
        <v>76</v>
      </c>
      <c r="B1847" s="1">
        <v>4</v>
      </c>
      <c r="C1847" s="1" t="s">
        <v>5</v>
      </c>
      <c r="D1847" s="1" t="s">
        <v>9</v>
      </c>
      <c r="E1847" s="1">
        <v>6.8564825057983398</v>
      </c>
      <c r="F1847" s="1">
        <f>Tabla1[[#This Row],[tiempo]]/(IF(Tabla1[[#This Row],[tamanho]]=$I$3,$L$3,IF(Tabla1[[#This Row],[tamanho]]=$I$4,$L$4,IF(Tabla1[[#This Row],[tamanho]]=$I$5,$L$5,IF(Tabla1[[#This Row],[tamanho]]=$I$6,$L$6,0))))*IF(C1847="8_1",9,25))</f>
        <v>1.0353741280385496E-6</v>
      </c>
    </row>
    <row r="1848" spans="1:6" ht="12.75" x14ac:dyDescent="0.2">
      <c r="A1848" s="1">
        <v>76</v>
      </c>
      <c r="B1848" s="1">
        <v>4</v>
      </c>
      <c r="C1848" s="1" t="s">
        <v>7</v>
      </c>
      <c r="D1848" s="1" t="s">
        <v>9</v>
      </c>
      <c r="E1848" s="1">
        <v>7.7162046432495099</v>
      </c>
      <c r="F1848" s="1">
        <f>Tabla1[[#This Row],[tiempo]]/(IF(Tabla1[[#This Row],[tamanho]]=$I$3,$L$3,IF(Tabla1[[#This Row],[tamanho]]=$I$4,$L$4,IF(Tabla1[[#This Row],[tamanho]]=$I$5,$L$5,IF(Tabla1[[#This Row],[tamanho]]=$I$6,$L$6,0))))*IF(C1848="8_1",9,25))</f>
        <v>4.1947122494741173E-7</v>
      </c>
    </row>
    <row r="1849" spans="1:6" ht="12.75" x14ac:dyDescent="0.2">
      <c r="A1849" s="1">
        <v>76</v>
      </c>
      <c r="B1849" s="1">
        <v>4</v>
      </c>
      <c r="C1849" s="1" t="s">
        <v>8</v>
      </c>
      <c r="D1849" s="1" t="s">
        <v>9</v>
      </c>
      <c r="E1849" s="1">
        <v>7.7794561386108398</v>
      </c>
      <c r="F1849" s="1">
        <f>Tabla1[[#This Row],[tiempo]]/(IF(Tabla1[[#This Row],[tamanho]]=$I$3,$L$3,IF(Tabla1[[#This Row],[tamanho]]=$I$4,$L$4,IF(Tabla1[[#This Row],[tamanho]]=$I$5,$L$5,IF(Tabla1[[#This Row],[tamanho]]=$I$6,$L$6,0))))*IF(C1849="8_1",9,25))</f>
        <v>4.2290972657686039E-7</v>
      </c>
    </row>
    <row r="1850" spans="1:6" ht="12.75" x14ac:dyDescent="0.2">
      <c r="A1850" s="1">
        <v>77</v>
      </c>
      <c r="B1850" s="1">
        <v>1</v>
      </c>
      <c r="C1850" s="1" t="s">
        <v>5</v>
      </c>
      <c r="D1850" s="1" t="s">
        <v>6</v>
      </c>
      <c r="E1850" s="1">
        <v>0.40987277030944802</v>
      </c>
      <c r="F1850" s="1">
        <f>Tabla1[[#This Row],[tiempo]]/(IF(Tabla1[[#This Row],[tamanho]]=$I$3,$L$3,IF(Tabla1[[#This Row],[tamanho]]=$I$4,$L$4,IF(Tabla1[[#This Row],[tamanho]]=$I$5,$L$5,IF(Tabla1[[#This Row],[tamanho]]=$I$6,$L$6,0))))*IF(C1850="8_1",9,25))</f>
        <v>1.6891591158811617E-6</v>
      </c>
    </row>
    <row r="1851" spans="1:6" ht="12.75" x14ac:dyDescent="0.2">
      <c r="A1851" s="1">
        <v>77</v>
      </c>
      <c r="B1851" s="1">
        <v>1</v>
      </c>
      <c r="C1851" s="1" t="s">
        <v>7</v>
      </c>
      <c r="D1851" s="1" t="s">
        <v>6</v>
      </c>
      <c r="E1851" s="1">
        <v>0.459988594055175</v>
      </c>
      <c r="F1851" s="1">
        <f>Tabla1[[#This Row],[tiempo]]/(IF(Tabla1[[#This Row],[tamanho]]=$I$3,$L$3,IF(Tabla1[[#This Row],[tamanho]]=$I$4,$L$4,IF(Tabla1[[#This Row],[tamanho]]=$I$5,$L$5,IF(Tabla1[[#This Row],[tamanho]]=$I$6,$L$6,0))))*IF(C1851="8_1",9,25))</f>
        <v>6.824503453954601E-7</v>
      </c>
    </row>
    <row r="1852" spans="1:6" ht="12.75" x14ac:dyDescent="0.2">
      <c r="A1852" s="1">
        <v>77</v>
      </c>
      <c r="B1852" s="1">
        <v>1</v>
      </c>
      <c r="C1852" s="1" t="s">
        <v>8</v>
      </c>
      <c r="D1852" s="1" t="s">
        <v>6</v>
      </c>
      <c r="E1852" s="1">
        <v>0.46352195739745999</v>
      </c>
      <c r="F1852" s="1">
        <f>Tabla1[[#This Row],[tiempo]]/(IF(Tabla1[[#This Row],[tamanho]]=$I$3,$L$3,IF(Tabla1[[#This Row],[tamanho]]=$I$4,$L$4,IF(Tabla1[[#This Row],[tamanho]]=$I$5,$L$5,IF(Tabla1[[#This Row],[tamanho]]=$I$6,$L$6,0))))*IF(C1852="8_1",9,25))</f>
        <v>6.8769252979853862E-7</v>
      </c>
    </row>
    <row r="1853" spans="1:6" ht="12.75" x14ac:dyDescent="0.2">
      <c r="A1853" s="1">
        <v>77</v>
      </c>
      <c r="B1853" s="1">
        <v>1</v>
      </c>
      <c r="C1853" s="1" t="s">
        <v>5</v>
      </c>
      <c r="D1853" s="1" t="s">
        <v>9</v>
      </c>
      <c r="E1853" s="1">
        <v>0.408255815505981</v>
      </c>
      <c r="F1853" s="1">
        <f>Tabla1[[#This Row],[tiempo]]/(IF(Tabla1[[#This Row],[tamanho]]=$I$3,$L$3,IF(Tabla1[[#This Row],[tamanho]]=$I$4,$L$4,IF(Tabla1[[#This Row],[tamanho]]=$I$5,$L$5,IF(Tabla1[[#This Row],[tamanho]]=$I$6,$L$6,0))))*IF(C1853="8_1",9,25))</f>
        <v>1.6824953554557448E-6</v>
      </c>
    </row>
    <row r="1854" spans="1:6" ht="12.75" x14ac:dyDescent="0.2">
      <c r="A1854" s="1">
        <v>77</v>
      </c>
      <c r="B1854" s="1">
        <v>1</v>
      </c>
      <c r="C1854" s="1" t="s">
        <v>7</v>
      </c>
      <c r="D1854" s="1" t="s">
        <v>9</v>
      </c>
      <c r="E1854" s="1">
        <v>0.46409654617309498</v>
      </c>
      <c r="F1854" s="1">
        <f>Tabla1[[#This Row],[tiempo]]/(IF(Tabla1[[#This Row],[tamanho]]=$I$3,$L$3,IF(Tabla1[[#This Row],[tamanho]]=$I$4,$L$4,IF(Tabla1[[#This Row],[tamanho]]=$I$5,$L$5,IF(Tabla1[[#This Row],[tamanho]]=$I$6,$L$6,0))))*IF(C1854="8_1",9,25))</f>
        <v>6.8854500378041618E-7</v>
      </c>
    </row>
    <row r="1855" spans="1:6" ht="12.75" x14ac:dyDescent="0.2">
      <c r="A1855" s="1">
        <v>77</v>
      </c>
      <c r="B1855" s="1">
        <v>1</v>
      </c>
      <c r="C1855" s="1" t="s">
        <v>8</v>
      </c>
      <c r="D1855" s="1" t="s">
        <v>9</v>
      </c>
      <c r="E1855" s="1">
        <v>0.46475291252136203</v>
      </c>
      <c r="F1855" s="1">
        <f>Tabla1[[#This Row],[tiempo]]/(IF(Tabla1[[#This Row],[tamanho]]=$I$3,$L$3,IF(Tabla1[[#This Row],[tamanho]]=$I$4,$L$4,IF(Tabla1[[#This Row],[tamanho]]=$I$5,$L$5,IF(Tabla1[[#This Row],[tamanho]]=$I$6,$L$6,0))))*IF(C1855="8_1",9,25))</f>
        <v>6.8951880497216274E-7</v>
      </c>
    </row>
    <row r="1856" spans="1:6" ht="12.75" x14ac:dyDescent="0.2">
      <c r="A1856" s="1">
        <v>77</v>
      </c>
      <c r="B1856" s="1">
        <v>2</v>
      </c>
      <c r="C1856" s="1" t="s">
        <v>5</v>
      </c>
      <c r="D1856" s="1" t="s">
        <v>6</v>
      </c>
      <c r="E1856" s="1">
        <v>1.6832289695739699</v>
      </c>
      <c r="F1856" s="1">
        <f>Tabla1[[#This Row],[tiempo]]/(IF(Tabla1[[#This Row],[tamanho]]=$I$3,$L$3,IF(Tabla1[[#This Row],[tamanho]]=$I$4,$L$4,IF(Tabla1[[#This Row],[tamanho]]=$I$5,$L$5,IF(Tabla1[[#This Row],[tamanho]]=$I$6,$L$6,0))))*IF(C1856="8_1",9,25))</f>
        <v>1.0190900331501098E-6</v>
      </c>
    </row>
    <row r="1857" spans="1:6" ht="12.75" x14ac:dyDescent="0.2">
      <c r="A1857" s="1">
        <v>77</v>
      </c>
      <c r="B1857" s="1">
        <v>2</v>
      </c>
      <c r="C1857" s="1" t="s">
        <v>7</v>
      </c>
      <c r="D1857" s="1" t="s">
        <v>6</v>
      </c>
      <c r="E1857" s="1">
        <v>1.8910117149353001</v>
      </c>
      <c r="F1857" s="1">
        <f>Tabla1[[#This Row],[tiempo]]/(IF(Tabla1[[#This Row],[tamanho]]=$I$3,$L$3,IF(Tabla1[[#This Row],[tamanho]]=$I$4,$L$4,IF(Tabla1[[#This Row],[tamanho]]=$I$5,$L$5,IF(Tabla1[[#This Row],[tamanho]]=$I$6,$L$6,0))))*IF(C1857="8_1",9,25))</f>
        <v>4.1216022382827129E-7</v>
      </c>
    </row>
    <row r="1858" spans="1:6" ht="12.75" x14ac:dyDescent="0.2">
      <c r="A1858" s="1">
        <v>77</v>
      </c>
      <c r="B1858" s="1">
        <v>2</v>
      </c>
      <c r="C1858" s="1" t="s">
        <v>8</v>
      </c>
      <c r="D1858" s="1" t="s">
        <v>6</v>
      </c>
      <c r="E1858" s="1">
        <v>1.90108299255371</v>
      </c>
      <c r="F1858" s="1">
        <f>Tabla1[[#This Row],[tiempo]]/(IF(Tabla1[[#This Row],[tamanho]]=$I$3,$L$3,IF(Tabla1[[#This Row],[tamanho]]=$I$4,$L$4,IF(Tabla1[[#This Row],[tamanho]]=$I$5,$L$5,IF(Tabla1[[#This Row],[tamanho]]=$I$6,$L$6,0))))*IF(C1858="8_1",9,25))</f>
        <v>4.1435533452201044E-7</v>
      </c>
    </row>
    <row r="1859" spans="1:6" ht="12.75" x14ac:dyDescent="0.2">
      <c r="A1859" s="1">
        <v>77</v>
      </c>
      <c r="B1859" s="1">
        <v>2</v>
      </c>
      <c r="C1859" s="1" t="s">
        <v>5</v>
      </c>
      <c r="D1859" s="1" t="s">
        <v>9</v>
      </c>
      <c r="E1859" s="1">
        <v>1.7034883499145499</v>
      </c>
      <c r="F1859" s="1">
        <f>Tabla1[[#This Row],[tiempo]]/(IF(Tabla1[[#This Row],[tamanho]]=$I$3,$L$3,IF(Tabla1[[#This Row],[tamanho]]=$I$4,$L$4,IF(Tabla1[[#This Row],[tamanho]]=$I$5,$L$5,IF(Tabla1[[#This Row],[tamanho]]=$I$6,$L$6,0))))*IF(C1859="8_1",9,25))</f>
        <v>1.0313558228650456E-6</v>
      </c>
    </row>
    <row r="1860" spans="1:6" ht="12.75" x14ac:dyDescent="0.2">
      <c r="A1860" s="1">
        <v>77</v>
      </c>
      <c r="B1860" s="1">
        <v>2</v>
      </c>
      <c r="C1860" s="1" t="s">
        <v>7</v>
      </c>
      <c r="D1860" s="1" t="s">
        <v>9</v>
      </c>
      <c r="E1860" s="1">
        <v>1.8984186649322501</v>
      </c>
      <c r="F1860" s="1">
        <f>Tabla1[[#This Row],[tiempo]]/(IF(Tabla1[[#This Row],[tamanho]]=$I$3,$L$3,IF(Tabla1[[#This Row],[tamanho]]=$I$4,$L$4,IF(Tabla1[[#This Row],[tamanho]]=$I$5,$L$5,IF(Tabla1[[#This Row],[tamanho]]=$I$6,$L$6,0))))*IF(C1860="8_1",9,25))</f>
        <v>4.1377462428095815E-7</v>
      </c>
    </row>
    <row r="1861" spans="1:6" ht="12.75" x14ac:dyDescent="0.2">
      <c r="A1861" s="1">
        <v>77</v>
      </c>
      <c r="B1861" s="1">
        <v>2</v>
      </c>
      <c r="C1861" s="1" t="s">
        <v>8</v>
      </c>
      <c r="D1861" s="1" t="s">
        <v>9</v>
      </c>
      <c r="E1861" s="1">
        <v>1.9137108325958201</v>
      </c>
      <c r="F1861" s="1">
        <f>Tabla1[[#This Row],[tiempo]]/(IF(Tabla1[[#This Row],[tamanho]]=$I$3,$L$3,IF(Tabla1[[#This Row],[tamanho]]=$I$4,$L$4,IF(Tabla1[[#This Row],[tamanho]]=$I$5,$L$5,IF(Tabla1[[#This Row],[tamanho]]=$I$6,$L$6,0))))*IF(C1861="8_1",9,25))</f>
        <v>4.1710766722154731E-7</v>
      </c>
    </row>
    <row r="1862" spans="1:6" ht="12.75" x14ac:dyDescent="0.2">
      <c r="A1862" s="1">
        <v>77</v>
      </c>
      <c r="B1862" s="1">
        <v>3</v>
      </c>
      <c r="C1862" s="1" t="s">
        <v>5</v>
      </c>
      <c r="D1862" s="1" t="s">
        <v>6</v>
      </c>
      <c r="E1862" s="1">
        <v>3.8415157794952299</v>
      </c>
      <c r="F1862" s="1">
        <f>Tabla1[[#This Row],[tiempo]]/(IF(Tabla1[[#This Row],[tamanho]]=$I$3,$L$3,IF(Tabla1[[#This Row],[tamanho]]=$I$4,$L$4,IF(Tabla1[[#This Row],[tamanho]]=$I$5,$L$5,IF(Tabla1[[#This Row],[tamanho]]=$I$6,$L$6,0))))*IF(C1862="8_1",9,25))</f>
        <v>1.0328662746805979E-6</v>
      </c>
    </row>
    <row r="1863" spans="1:6" ht="12.75" x14ac:dyDescent="0.2">
      <c r="A1863" s="1">
        <v>77</v>
      </c>
      <c r="B1863" s="1">
        <v>3</v>
      </c>
      <c r="C1863" s="1" t="s">
        <v>7</v>
      </c>
      <c r="D1863" s="1" t="s">
        <v>6</v>
      </c>
      <c r="E1863" s="1">
        <v>4.3391411304473797</v>
      </c>
      <c r="F1863" s="1">
        <f>Tabla1[[#This Row],[tiempo]]/(IF(Tabla1[[#This Row],[tamanho]]=$I$3,$L$3,IF(Tabla1[[#This Row],[tamanho]]=$I$4,$L$4,IF(Tabla1[[#This Row],[tamanho]]=$I$5,$L$5,IF(Tabla1[[#This Row],[tamanho]]=$I$6,$L$6,0))))*IF(C1863="8_1",9,25))</f>
        <v>4.1999851233480502E-7</v>
      </c>
    </row>
    <row r="1864" spans="1:6" ht="12.75" x14ac:dyDescent="0.2">
      <c r="A1864" s="1">
        <v>77</v>
      </c>
      <c r="B1864" s="1">
        <v>3</v>
      </c>
      <c r="C1864" s="1" t="s">
        <v>8</v>
      </c>
      <c r="D1864" s="1" t="s">
        <v>6</v>
      </c>
      <c r="E1864" s="1">
        <v>4.3371195793151802</v>
      </c>
      <c r="F1864" s="1">
        <f>Tabla1[[#This Row],[tiempo]]/(IF(Tabla1[[#This Row],[tamanho]]=$I$3,$L$3,IF(Tabla1[[#This Row],[tamanho]]=$I$4,$L$4,IF(Tabla1[[#This Row],[tamanho]]=$I$5,$L$5,IF(Tabla1[[#This Row],[tamanho]]=$I$6,$L$6,0))))*IF(C1864="8_1",9,25))</f>
        <v>4.1980284032446758E-7</v>
      </c>
    </row>
    <row r="1865" spans="1:6" ht="12.75" x14ac:dyDescent="0.2">
      <c r="A1865" s="1">
        <v>77</v>
      </c>
      <c r="B1865" s="1">
        <v>3</v>
      </c>
      <c r="C1865" s="1" t="s">
        <v>5</v>
      </c>
      <c r="D1865" s="1" t="s">
        <v>9</v>
      </c>
      <c r="E1865" s="1">
        <v>3.8703851699829102</v>
      </c>
      <c r="F1865" s="1">
        <f>Tabla1[[#This Row],[tiempo]]/(IF(Tabla1[[#This Row],[tamanho]]=$I$3,$L$3,IF(Tabla1[[#This Row],[tamanho]]=$I$4,$L$4,IF(Tabla1[[#This Row],[tamanho]]=$I$5,$L$5,IF(Tabla1[[#This Row],[tamanho]]=$I$6,$L$6,0))))*IF(C1865="8_1",9,25))</f>
        <v>1.0406283721225685E-6</v>
      </c>
    </row>
    <row r="1866" spans="1:6" ht="12.75" x14ac:dyDescent="0.2">
      <c r="A1866" s="1">
        <v>77</v>
      </c>
      <c r="B1866" s="1">
        <v>3</v>
      </c>
      <c r="C1866" s="1" t="s">
        <v>7</v>
      </c>
      <c r="D1866" s="1" t="s">
        <v>9</v>
      </c>
      <c r="E1866" s="1">
        <v>4.3379132747650102</v>
      </c>
      <c r="F1866" s="1">
        <f>Tabla1[[#This Row],[tiempo]]/(IF(Tabla1[[#This Row],[tamanho]]=$I$3,$L$3,IF(Tabla1[[#This Row],[tamanho]]=$I$4,$L$4,IF(Tabla1[[#This Row],[tamanho]]=$I$5,$L$5,IF(Tabla1[[#This Row],[tamanho]]=$I$6,$L$6,0))))*IF(C1866="8_1",9,25))</f>
        <v>4.1987966449269675E-7</v>
      </c>
    </row>
    <row r="1867" spans="1:6" ht="12.75" x14ac:dyDescent="0.2">
      <c r="A1867" s="1">
        <v>77</v>
      </c>
      <c r="B1867" s="1">
        <v>3</v>
      </c>
      <c r="C1867" s="1" t="s">
        <v>8</v>
      </c>
      <c r="D1867" s="1" t="s">
        <v>9</v>
      </c>
      <c r="E1867" s="1">
        <v>4.3779406547546298</v>
      </c>
      <c r="F1867" s="1">
        <f>Tabla1[[#This Row],[tiempo]]/(IF(Tabla1[[#This Row],[tamanho]]=$I$3,$L$3,IF(Tabla1[[#This Row],[tamanho]]=$I$4,$L$4,IF(Tabla1[[#This Row],[tamanho]]=$I$5,$L$5,IF(Tabla1[[#This Row],[tamanho]]=$I$6,$L$6,0))))*IF(C1867="8_1",9,25))</f>
        <v>4.2375403491368532E-7</v>
      </c>
    </row>
    <row r="1868" spans="1:6" ht="12.75" x14ac:dyDescent="0.2">
      <c r="A1868" s="1">
        <v>77</v>
      </c>
      <c r="B1868" s="1">
        <v>4</v>
      </c>
      <c r="C1868" s="1" t="s">
        <v>5</v>
      </c>
      <c r="D1868" s="1" t="s">
        <v>6</v>
      </c>
      <c r="E1868" s="1">
        <v>6.9345507621765101</v>
      </c>
      <c r="F1868" s="1">
        <f>Tabla1[[#This Row],[tiempo]]/(IF(Tabla1[[#This Row],[tamanho]]=$I$3,$L$3,IF(Tabla1[[#This Row],[tamanho]]=$I$4,$L$4,IF(Tabla1[[#This Row],[tamanho]]=$I$5,$L$5,IF(Tabla1[[#This Row],[tamanho]]=$I$6,$L$6,0))))*IF(C1868="8_1",9,25))</f>
        <v>1.0471629501943244E-6</v>
      </c>
    </row>
    <row r="1869" spans="1:6" ht="12.75" x14ac:dyDescent="0.2">
      <c r="A1869" s="1">
        <v>77</v>
      </c>
      <c r="B1869" s="1">
        <v>4</v>
      </c>
      <c r="C1869" s="1" t="s">
        <v>7</v>
      </c>
      <c r="D1869" s="1" t="s">
        <v>6</v>
      </c>
      <c r="E1869" s="1">
        <v>7.7232182025909397</v>
      </c>
      <c r="F1869" s="1">
        <f>Tabla1[[#This Row],[tiempo]]/(IF(Tabla1[[#This Row],[tamanho]]=$I$3,$L$3,IF(Tabla1[[#This Row],[tamanho]]=$I$4,$L$4,IF(Tabla1[[#This Row],[tamanho]]=$I$5,$L$5,IF(Tabla1[[#This Row],[tamanho]]=$I$6,$L$6,0))))*IF(C1869="8_1",9,25))</f>
        <v>4.198524987036443E-7</v>
      </c>
    </row>
    <row r="1870" spans="1:6" ht="12.75" x14ac:dyDescent="0.2">
      <c r="A1870" s="1">
        <v>77</v>
      </c>
      <c r="B1870" s="1">
        <v>4</v>
      </c>
      <c r="C1870" s="1" t="s">
        <v>8</v>
      </c>
      <c r="D1870" s="1" t="s">
        <v>6</v>
      </c>
      <c r="E1870" s="1">
        <v>7.7620816230773899</v>
      </c>
      <c r="F1870" s="1">
        <f>Tabla1[[#This Row],[tiempo]]/(IF(Tabla1[[#This Row],[tamanho]]=$I$3,$L$3,IF(Tabla1[[#This Row],[tamanho]]=$I$4,$L$4,IF(Tabla1[[#This Row],[tamanho]]=$I$5,$L$5,IF(Tabla1[[#This Row],[tamanho]]=$I$6,$L$6,0))))*IF(C1870="8_1",9,25))</f>
        <v>4.2196520661521574E-7</v>
      </c>
    </row>
    <row r="1871" spans="1:6" ht="12.75" x14ac:dyDescent="0.2">
      <c r="A1871" s="1">
        <v>77</v>
      </c>
      <c r="B1871" s="1">
        <v>4</v>
      </c>
      <c r="C1871" s="1" t="s">
        <v>5</v>
      </c>
      <c r="D1871" s="1" t="s">
        <v>9</v>
      </c>
      <c r="E1871" s="1">
        <v>6.9411628246307302</v>
      </c>
      <c r="F1871" s="1">
        <f>Tabla1[[#This Row],[tiempo]]/(IF(Tabla1[[#This Row],[tamanho]]=$I$3,$L$3,IF(Tabla1[[#This Row],[tamanho]]=$I$4,$L$4,IF(Tabla1[[#This Row],[tamanho]]=$I$5,$L$5,IF(Tabla1[[#This Row],[tamanho]]=$I$6,$L$6,0))))*IF(C1871="8_1",9,25))</f>
        <v>1.0481614152808006E-6</v>
      </c>
    </row>
    <row r="1872" spans="1:6" ht="12.75" x14ac:dyDescent="0.2">
      <c r="A1872" s="1">
        <v>77</v>
      </c>
      <c r="B1872" s="1">
        <v>4</v>
      </c>
      <c r="C1872" s="1" t="s">
        <v>7</v>
      </c>
      <c r="D1872" s="1" t="s">
        <v>9</v>
      </c>
      <c r="E1872" s="1">
        <v>7.7398655414581299</v>
      </c>
      <c r="F1872" s="1">
        <f>Tabla1[[#This Row],[tiempo]]/(IF(Tabla1[[#This Row],[tamanho]]=$I$3,$L$3,IF(Tabla1[[#This Row],[tamanho]]=$I$4,$L$4,IF(Tabla1[[#This Row],[tamanho]]=$I$5,$L$5,IF(Tabla1[[#This Row],[tamanho]]=$I$6,$L$6,0))))*IF(C1872="8_1",9,25))</f>
        <v>4.2075748761329485E-7</v>
      </c>
    </row>
    <row r="1873" spans="1:6" ht="12.75" x14ac:dyDescent="0.2">
      <c r="A1873" s="1">
        <v>77</v>
      </c>
      <c r="B1873" s="1">
        <v>4</v>
      </c>
      <c r="C1873" s="1" t="s">
        <v>8</v>
      </c>
      <c r="D1873" s="1" t="s">
        <v>9</v>
      </c>
      <c r="E1873" s="1">
        <v>7.8065288066863996</v>
      </c>
      <c r="F1873" s="1">
        <f>Tabla1[[#This Row],[tiempo]]/(IF(Tabla1[[#This Row],[tamanho]]=$I$3,$L$3,IF(Tabla1[[#This Row],[tamanho]]=$I$4,$L$4,IF(Tabla1[[#This Row],[tamanho]]=$I$5,$L$5,IF(Tabla1[[#This Row],[tamanho]]=$I$6,$L$6,0))))*IF(C1873="8_1",9,25))</f>
        <v>4.2438146116209908E-7</v>
      </c>
    </row>
    <row r="1874" spans="1:6" ht="12.75" x14ac:dyDescent="0.2">
      <c r="A1874" s="1">
        <v>78</v>
      </c>
      <c r="B1874" s="1">
        <v>1</v>
      </c>
      <c r="C1874" s="1" t="s">
        <v>5</v>
      </c>
      <c r="D1874" s="1" t="s">
        <v>6</v>
      </c>
      <c r="E1874" s="1">
        <v>0.41256499290466297</v>
      </c>
      <c r="F1874" s="1">
        <f>Tabla1[[#This Row],[tiempo]]/(IF(Tabla1[[#This Row],[tamanho]]=$I$3,$L$3,IF(Tabla1[[#This Row],[tamanho]]=$I$4,$L$4,IF(Tabla1[[#This Row],[tamanho]]=$I$5,$L$5,IF(Tabla1[[#This Row],[tamanho]]=$I$6,$L$6,0))))*IF(C1874="8_1",9,25))</f>
        <v>1.7002542475125098E-6</v>
      </c>
    </row>
    <row r="1875" spans="1:6" ht="12.75" x14ac:dyDescent="0.2">
      <c r="A1875" s="1">
        <v>78</v>
      </c>
      <c r="B1875" s="1">
        <v>1</v>
      </c>
      <c r="C1875" s="1" t="s">
        <v>7</v>
      </c>
      <c r="D1875" s="1" t="s">
        <v>6</v>
      </c>
      <c r="E1875" s="1">
        <v>0.45754981040954501</v>
      </c>
      <c r="F1875" s="1">
        <f>Tabla1[[#This Row],[tiempo]]/(IF(Tabla1[[#This Row],[tamanho]]=$I$3,$L$3,IF(Tabla1[[#This Row],[tamanho]]=$I$4,$L$4,IF(Tabla1[[#This Row],[tamanho]]=$I$5,$L$5,IF(Tabla1[[#This Row],[tamanho]]=$I$6,$L$6,0))))*IF(C1875="8_1",9,25))</f>
        <v>6.7883210624167498E-7</v>
      </c>
    </row>
    <row r="1876" spans="1:6" ht="12.75" x14ac:dyDescent="0.2">
      <c r="A1876" s="1">
        <v>78</v>
      </c>
      <c r="B1876" s="1">
        <v>1</v>
      </c>
      <c r="C1876" s="1" t="s">
        <v>8</v>
      </c>
      <c r="D1876" s="1" t="s">
        <v>6</v>
      </c>
      <c r="E1876" s="1">
        <v>0.45869946479797302</v>
      </c>
      <c r="F1876" s="1">
        <f>Tabla1[[#This Row],[tiempo]]/(IF(Tabla1[[#This Row],[tamanho]]=$I$3,$L$3,IF(Tabla1[[#This Row],[tamanho]]=$I$4,$L$4,IF(Tabla1[[#This Row],[tamanho]]=$I$5,$L$5,IF(Tabla1[[#This Row],[tamanho]]=$I$6,$L$6,0))))*IF(C1876="8_1",9,25))</f>
        <v>6.8053776165271762E-7</v>
      </c>
    </row>
    <row r="1877" spans="1:6" ht="12.75" x14ac:dyDescent="0.2">
      <c r="A1877" s="1">
        <v>78</v>
      </c>
      <c r="B1877" s="1">
        <v>1</v>
      </c>
      <c r="C1877" s="1" t="s">
        <v>5</v>
      </c>
      <c r="D1877" s="1" t="s">
        <v>9</v>
      </c>
      <c r="E1877" s="1">
        <v>0.40631484985351501</v>
      </c>
      <c r="F1877" s="1">
        <f>Tabla1[[#This Row],[tiempo]]/(IF(Tabla1[[#This Row],[tamanho]]=$I$3,$L$3,IF(Tabla1[[#This Row],[tamanho]]=$I$4,$L$4,IF(Tabla1[[#This Row],[tamanho]]=$I$5,$L$5,IF(Tabla1[[#This Row],[tamanho]]=$I$6,$L$6,0))))*IF(C1877="8_1",9,25))</f>
        <v>1.674496288274483E-6</v>
      </c>
    </row>
    <row r="1878" spans="1:6" ht="12.75" x14ac:dyDescent="0.2">
      <c r="A1878" s="1">
        <v>78</v>
      </c>
      <c r="B1878" s="1">
        <v>1</v>
      </c>
      <c r="C1878" s="1" t="s">
        <v>7</v>
      </c>
      <c r="D1878" s="1" t="s">
        <v>9</v>
      </c>
      <c r="E1878" s="1">
        <v>0.45758700370788502</v>
      </c>
      <c r="F1878" s="1">
        <f>Tabla1[[#This Row],[tiempo]]/(IF(Tabla1[[#This Row],[tamanho]]=$I$3,$L$3,IF(Tabla1[[#This Row],[tamanho]]=$I$4,$L$4,IF(Tabla1[[#This Row],[tamanho]]=$I$5,$L$5,IF(Tabla1[[#This Row],[tamanho]]=$I$6,$L$6,0))))*IF(C1878="8_1",9,25))</f>
        <v>6.7888728713012874E-7</v>
      </c>
    </row>
    <row r="1879" spans="1:6" ht="12.75" x14ac:dyDescent="0.2">
      <c r="A1879" s="1">
        <v>78</v>
      </c>
      <c r="B1879" s="1">
        <v>1</v>
      </c>
      <c r="C1879" s="1" t="s">
        <v>8</v>
      </c>
      <c r="D1879" s="1" t="s">
        <v>9</v>
      </c>
      <c r="E1879" s="1">
        <v>0.46404933929443298</v>
      </c>
      <c r="F1879" s="1">
        <f>Tabla1[[#This Row],[tiempo]]/(IF(Tabla1[[#This Row],[tamanho]]=$I$3,$L$3,IF(Tabla1[[#This Row],[tamanho]]=$I$4,$L$4,IF(Tabla1[[#This Row],[tamanho]]=$I$5,$L$5,IF(Tabla1[[#This Row],[tamanho]]=$I$6,$L$6,0))))*IF(C1879="8_1",9,25))</f>
        <v>6.8847496649891764E-7</v>
      </c>
    </row>
    <row r="1880" spans="1:6" ht="12.75" x14ac:dyDescent="0.2">
      <c r="A1880" s="1">
        <v>78</v>
      </c>
      <c r="B1880" s="1">
        <v>2</v>
      </c>
      <c r="C1880" s="1" t="s">
        <v>5</v>
      </c>
      <c r="D1880" s="1" t="s">
        <v>6</v>
      </c>
      <c r="E1880" s="1">
        <v>1.6944108009338299</v>
      </c>
      <c r="F1880" s="1">
        <f>Tabla1[[#This Row],[tiempo]]/(IF(Tabla1[[#This Row],[tamanho]]=$I$3,$L$3,IF(Tabla1[[#This Row],[tamanho]]=$I$4,$L$4,IF(Tabla1[[#This Row],[tamanho]]=$I$5,$L$5,IF(Tabla1[[#This Row],[tamanho]]=$I$6,$L$6,0))))*IF(C1880="8_1",9,25))</f>
        <v>1.0258599337977221E-6</v>
      </c>
    </row>
    <row r="1881" spans="1:6" ht="12.75" x14ac:dyDescent="0.2">
      <c r="A1881" s="1">
        <v>78</v>
      </c>
      <c r="B1881" s="1">
        <v>2</v>
      </c>
      <c r="C1881" s="1" t="s">
        <v>7</v>
      </c>
      <c r="D1881" s="1" t="s">
        <v>6</v>
      </c>
      <c r="E1881" s="1">
        <v>1.91005110740661</v>
      </c>
      <c r="F1881" s="1">
        <f>Tabla1[[#This Row],[tiempo]]/(IF(Tabla1[[#This Row],[tamanho]]=$I$3,$L$3,IF(Tabla1[[#This Row],[tamanho]]=$I$4,$L$4,IF(Tabla1[[#This Row],[tamanho]]=$I$5,$L$5,IF(Tabla1[[#This Row],[tamanho]]=$I$6,$L$6,0))))*IF(C1881="8_1",9,25))</f>
        <v>4.163100025951352E-7</v>
      </c>
    </row>
    <row r="1882" spans="1:6" ht="12.75" x14ac:dyDescent="0.2">
      <c r="A1882" s="1">
        <v>78</v>
      </c>
      <c r="B1882" s="1">
        <v>2</v>
      </c>
      <c r="C1882" s="1" t="s">
        <v>8</v>
      </c>
      <c r="D1882" s="1" t="s">
        <v>6</v>
      </c>
      <c r="E1882" s="1">
        <v>1.91407799720764</v>
      </c>
      <c r="F1882" s="1">
        <f>Tabla1[[#This Row],[tiempo]]/(IF(Tabla1[[#This Row],[tamanho]]=$I$3,$L$3,IF(Tabla1[[#This Row],[tamanho]]=$I$4,$L$4,IF(Tabla1[[#This Row],[tamanho]]=$I$5,$L$5,IF(Tabla1[[#This Row],[tamanho]]=$I$6,$L$6,0))))*IF(C1882="8_1",9,25))</f>
        <v>4.1718769350980048E-7</v>
      </c>
    </row>
    <row r="1883" spans="1:6" ht="12.75" x14ac:dyDescent="0.2">
      <c r="A1883" s="1">
        <v>78</v>
      </c>
      <c r="B1883" s="1">
        <v>2</v>
      </c>
      <c r="C1883" s="1" t="s">
        <v>5</v>
      </c>
      <c r="D1883" s="1" t="s">
        <v>9</v>
      </c>
      <c r="E1883" s="1">
        <v>1.69491314888</v>
      </c>
      <c r="F1883" s="1">
        <f>Tabla1[[#This Row],[tiempo]]/(IF(Tabla1[[#This Row],[tamanho]]=$I$3,$L$3,IF(Tabla1[[#This Row],[tamanho]]=$I$4,$L$4,IF(Tabla1[[#This Row],[tamanho]]=$I$5,$L$5,IF(Tabla1[[#This Row],[tamanho]]=$I$6,$L$6,0))))*IF(C1883="8_1",9,25))</f>
        <v>1.0261640741104003E-6</v>
      </c>
    </row>
    <row r="1884" spans="1:6" ht="12.75" x14ac:dyDescent="0.2">
      <c r="A1884" s="1">
        <v>78</v>
      </c>
      <c r="B1884" s="1">
        <v>2</v>
      </c>
      <c r="C1884" s="1" t="s">
        <v>7</v>
      </c>
      <c r="D1884" s="1" t="s">
        <v>9</v>
      </c>
      <c r="E1884" s="1">
        <v>1.9049363136291499</v>
      </c>
      <c r="F1884" s="1">
        <f>Tabla1[[#This Row],[tiempo]]/(IF(Tabla1[[#This Row],[tamanho]]=$I$3,$L$3,IF(Tabla1[[#This Row],[tamanho]]=$I$4,$L$4,IF(Tabla1[[#This Row],[tamanho]]=$I$5,$L$5,IF(Tabla1[[#This Row],[tamanho]]=$I$6,$L$6,0))))*IF(C1884="8_1",9,25))</f>
        <v>4.1519519482768279E-7</v>
      </c>
    </row>
    <row r="1885" spans="1:6" ht="12.75" x14ac:dyDescent="0.2">
      <c r="A1885" s="1">
        <v>78</v>
      </c>
      <c r="B1885" s="1">
        <v>2</v>
      </c>
      <c r="C1885" s="1" t="s">
        <v>8</v>
      </c>
      <c r="D1885" s="1" t="s">
        <v>9</v>
      </c>
      <c r="E1885" s="1">
        <v>1.9176392555236801</v>
      </c>
      <c r="F1885" s="1">
        <f>Tabla1[[#This Row],[tiempo]]/(IF(Tabla1[[#This Row],[tamanho]]=$I$3,$L$3,IF(Tabla1[[#This Row],[tamanho]]=$I$4,$L$4,IF(Tabla1[[#This Row],[tamanho]]=$I$5,$L$5,IF(Tabla1[[#This Row],[tamanho]]=$I$6,$L$6,0))))*IF(C1885="8_1",9,25))</f>
        <v>4.1796389654072647E-7</v>
      </c>
    </row>
    <row r="1886" spans="1:6" ht="12.75" x14ac:dyDescent="0.2">
      <c r="A1886" s="1">
        <v>78</v>
      </c>
      <c r="B1886" s="1">
        <v>3</v>
      </c>
      <c r="C1886" s="1" t="s">
        <v>5</v>
      </c>
      <c r="D1886" s="1" t="s">
        <v>6</v>
      </c>
      <c r="E1886" s="1">
        <v>3.84163069725036</v>
      </c>
      <c r="F1886" s="1">
        <f>Tabla1[[#This Row],[tiempo]]/(IF(Tabla1[[#This Row],[tamanho]]=$I$3,$L$3,IF(Tabla1[[#This Row],[tamanho]]=$I$4,$L$4,IF(Tabla1[[#This Row],[tamanho]]=$I$5,$L$5,IF(Tabla1[[#This Row],[tamanho]]=$I$6,$L$6,0))))*IF(C1886="8_1",9,25))</f>
        <v>1.032897172555408E-6</v>
      </c>
    </row>
    <row r="1887" spans="1:6" ht="12.75" x14ac:dyDescent="0.2">
      <c r="A1887" s="1">
        <v>78</v>
      </c>
      <c r="B1887" s="1">
        <v>3</v>
      </c>
      <c r="C1887" s="1" t="s">
        <v>7</v>
      </c>
      <c r="D1887" s="1" t="s">
        <v>6</v>
      </c>
      <c r="E1887" s="1">
        <v>4.3243305683135898</v>
      </c>
      <c r="F1887" s="1">
        <f>Tabla1[[#This Row],[tiempo]]/(IF(Tabla1[[#This Row],[tamanho]]=$I$3,$L$3,IF(Tabla1[[#This Row],[tamanho]]=$I$4,$L$4,IF(Tabla1[[#This Row],[tamanho]]=$I$5,$L$5,IF(Tabla1[[#This Row],[tamanho]]=$I$6,$L$6,0))))*IF(C1887="8_1",9,25))</f>
        <v>4.185649535092149E-7</v>
      </c>
    </row>
    <row r="1888" spans="1:6" ht="12.75" x14ac:dyDescent="0.2">
      <c r="A1888" s="1">
        <v>78</v>
      </c>
      <c r="B1888" s="1">
        <v>3</v>
      </c>
      <c r="C1888" s="1" t="s">
        <v>8</v>
      </c>
      <c r="D1888" s="1" t="s">
        <v>6</v>
      </c>
      <c r="E1888" s="1">
        <v>4.3164932727813703</v>
      </c>
      <c r="F1888" s="1">
        <f>Tabla1[[#This Row],[tiempo]]/(IF(Tabla1[[#This Row],[tamanho]]=$I$3,$L$3,IF(Tabla1[[#This Row],[tamanho]]=$I$4,$L$4,IF(Tabla1[[#This Row],[tamanho]]=$I$5,$L$5,IF(Tabla1[[#This Row],[tamanho]]=$I$6,$L$6,0))))*IF(C1888="8_1",9,25))</f>
        <v>4.1780635811779907E-7</v>
      </c>
    </row>
    <row r="1889" spans="1:6" ht="12.75" x14ac:dyDescent="0.2">
      <c r="A1889" s="1">
        <v>78</v>
      </c>
      <c r="B1889" s="1">
        <v>3</v>
      </c>
      <c r="C1889" s="1" t="s">
        <v>5</v>
      </c>
      <c r="D1889" s="1" t="s">
        <v>9</v>
      </c>
      <c r="E1889" s="1">
        <v>3.8438587188720699</v>
      </c>
      <c r="F1889" s="1">
        <f>Tabla1[[#This Row],[tiempo]]/(IF(Tabla1[[#This Row],[tamanho]]=$I$3,$L$3,IF(Tabla1[[#This Row],[tamanho]]=$I$4,$L$4,IF(Tabla1[[#This Row],[tamanho]]=$I$5,$L$5,IF(Tabla1[[#This Row],[tamanho]]=$I$6,$L$6,0))))*IF(C1889="8_1",9,25))</f>
        <v>1.0334962195265558E-6</v>
      </c>
    </row>
    <row r="1890" spans="1:6" ht="12.75" x14ac:dyDescent="0.2">
      <c r="A1890" s="1">
        <v>78</v>
      </c>
      <c r="B1890" s="1">
        <v>3</v>
      </c>
      <c r="C1890" s="1" t="s">
        <v>7</v>
      </c>
      <c r="D1890" s="1" t="s">
        <v>9</v>
      </c>
      <c r="E1890" s="1">
        <v>4.3273332118988002</v>
      </c>
      <c r="F1890" s="1">
        <f>Tabla1[[#This Row],[tiempo]]/(IF(Tabla1[[#This Row],[tamanho]]=$I$3,$L$3,IF(Tabla1[[#This Row],[tamanho]]=$I$4,$L$4,IF(Tabla1[[#This Row],[tamanho]]=$I$5,$L$5,IF(Tabla1[[#This Row],[tamanho]]=$I$6,$L$6,0))))*IF(C1890="8_1",9,25))</f>
        <v>4.1885558840698558E-7</v>
      </c>
    </row>
    <row r="1891" spans="1:6" ht="12.75" x14ac:dyDescent="0.2">
      <c r="A1891" s="1">
        <v>78</v>
      </c>
      <c r="B1891" s="1">
        <v>3</v>
      </c>
      <c r="C1891" s="1" t="s">
        <v>8</v>
      </c>
      <c r="D1891" s="1" t="s">
        <v>9</v>
      </c>
      <c r="E1891" s="1">
        <v>4.3612616062164298</v>
      </c>
      <c r="F1891" s="1">
        <f>Tabla1[[#This Row],[tiempo]]/(IF(Tabla1[[#This Row],[tamanho]]=$I$3,$L$3,IF(Tabla1[[#This Row],[tamanho]]=$I$4,$L$4,IF(Tabla1[[#This Row],[tamanho]]=$I$5,$L$5,IF(Tabla1[[#This Row],[tamanho]]=$I$6,$L$6,0))))*IF(C1891="8_1",9,25))</f>
        <v>4.2213961967283283E-7</v>
      </c>
    </row>
    <row r="1892" spans="1:6" ht="12.75" x14ac:dyDescent="0.2">
      <c r="A1892" s="1">
        <v>78</v>
      </c>
      <c r="B1892" s="1">
        <v>4</v>
      </c>
      <c r="C1892" s="1" t="s">
        <v>5</v>
      </c>
      <c r="D1892" s="1" t="s">
        <v>6</v>
      </c>
      <c r="E1892" s="1">
        <v>6.8794374465942303</v>
      </c>
      <c r="F1892" s="1">
        <f>Tabla1[[#This Row],[tiempo]]/(IF(Tabla1[[#This Row],[tamanho]]=$I$3,$L$3,IF(Tabla1[[#This Row],[tamanho]]=$I$4,$L$4,IF(Tabla1[[#This Row],[tamanho]]=$I$5,$L$5,IF(Tabla1[[#This Row],[tamanho]]=$I$6,$L$6,0))))*IF(C1892="8_1",9,25))</f>
        <v>1.0388404756578459E-6</v>
      </c>
    </row>
    <row r="1893" spans="1:6" ht="12.75" x14ac:dyDescent="0.2">
      <c r="A1893" s="1">
        <v>78</v>
      </c>
      <c r="B1893" s="1">
        <v>4</v>
      </c>
      <c r="C1893" s="1" t="s">
        <v>7</v>
      </c>
      <c r="D1893" s="1" t="s">
        <v>6</v>
      </c>
      <c r="E1893" s="1">
        <v>7.77081203460693</v>
      </c>
      <c r="F1893" s="1">
        <f>Tabla1[[#This Row],[tiempo]]/(IF(Tabla1[[#This Row],[tamanho]]=$I$3,$L$3,IF(Tabla1[[#This Row],[tamanho]]=$I$4,$L$4,IF(Tabla1[[#This Row],[tamanho]]=$I$5,$L$5,IF(Tabla1[[#This Row],[tamanho]]=$I$6,$L$6,0))))*IF(C1893="8_1",9,25))</f>
        <v>4.2243981253715629E-7</v>
      </c>
    </row>
    <row r="1894" spans="1:6" ht="12.75" x14ac:dyDescent="0.2">
      <c r="A1894" s="1">
        <v>78</v>
      </c>
      <c r="B1894" s="1">
        <v>4</v>
      </c>
      <c r="C1894" s="1" t="s">
        <v>8</v>
      </c>
      <c r="D1894" s="1" t="s">
        <v>6</v>
      </c>
      <c r="E1894" s="1">
        <v>7.7608470916748002</v>
      </c>
      <c r="F1894" s="1">
        <f>Tabla1[[#This Row],[tiempo]]/(IF(Tabla1[[#This Row],[tamanho]]=$I$3,$L$3,IF(Tabla1[[#This Row],[tamanho]]=$I$4,$L$4,IF(Tabla1[[#This Row],[tamanho]]=$I$5,$L$5,IF(Tabla1[[#This Row],[tamanho]]=$I$6,$L$6,0))))*IF(C1894="8_1",9,25))</f>
        <v>4.2189809455383033E-7</v>
      </c>
    </row>
    <row r="1895" spans="1:6" ht="12.75" x14ac:dyDescent="0.2">
      <c r="A1895" s="1">
        <v>78</v>
      </c>
      <c r="B1895" s="1">
        <v>4</v>
      </c>
      <c r="C1895" s="1" t="s">
        <v>5</v>
      </c>
      <c r="D1895" s="1" t="s">
        <v>9</v>
      </c>
      <c r="E1895" s="1">
        <v>6.8890047073364196</v>
      </c>
      <c r="F1895" s="1">
        <f>Tabla1[[#This Row],[tiempo]]/(IF(Tabla1[[#This Row],[tamanho]]=$I$3,$L$3,IF(Tabla1[[#This Row],[tamanho]]=$I$4,$L$4,IF(Tabla1[[#This Row],[tamanho]]=$I$5,$L$5,IF(Tabla1[[#This Row],[tamanho]]=$I$6,$L$6,0))))*IF(C1895="8_1",9,25))</f>
        <v>1.040285195197389E-6</v>
      </c>
    </row>
    <row r="1896" spans="1:6" ht="12.75" x14ac:dyDescent="0.2">
      <c r="A1896" s="1">
        <v>78</v>
      </c>
      <c r="B1896" s="1">
        <v>4</v>
      </c>
      <c r="C1896" s="1" t="s">
        <v>7</v>
      </c>
      <c r="D1896" s="1" t="s">
        <v>9</v>
      </c>
      <c r="E1896" s="1">
        <v>7.7760117053985596</v>
      </c>
      <c r="F1896" s="1">
        <f>Tabla1[[#This Row],[tiempo]]/(IF(Tabla1[[#This Row],[tamanho]]=$I$3,$L$3,IF(Tabla1[[#This Row],[tamanho]]=$I$4,$L$4,IF(Tabla1[[#This Row],[tamanho]]=$I$5,$L$5,IF(Tabla1[[#This Row],[tamanho]]=$I$6,$L$6,0))))*IF(C1896="8_1",9,25))</f>
        <v>4.2272247900041505E-7</v>
      </c>
    </row>
    <row r="1897" spans="1:6" ht="12.75" x14ac:dyDescent="0.2">
      <c r="A1897" s="1">
        <v>78</v>
      </c>
      <c r="B1897" s="1">
        <v>4</v>
      </c>
      <c r="C1897" s="1" t="s">
        <v>8</v>
      </c>
      <c r="D1897" s="1" t="s">
        <v>9</v>
      </c>
      <c r="E1897" s="1">
        <v>7.8322551250457701</v>
      </c>
      <c r="F1897" s="1">
        <f>Tabla1[[#This Row],[tiempo]]/(IF(Tabla1[[#This Row],[tamanho]]=$I$3,$L$3,IF(Tabla1[[#This Row],[tamanho]]=$I$4,$L$4,IF(Tabla1[[#This Row],[tamanho]]=$I$5,$L$5,IF(Tabla1[[#This Row],[tamanho]]=$I$6,$L$6,0))))*IF(C1897="8_1",9,25))</f>
        <v>4.2578000497664567E-7</v>
      </c>
    </row>
    <row r="1898" spans="1:6" ht="12.75" x14ac:dyDescent="0.2">
      <c r="A1898" s="1">
        <v>79</v>
      </c>
      <c r="B1898" s="1">
        <v>1</v>
      </c>
      <c r="C1898" s="1" t="s">
        <v>5</v>
      </c>
      <c r="D1898" s="1" t="s">
        <v>6</v>
      </c>
      <c r="E1898" s="1">
        <v>0.41114616394042902</v>
      </c>
      <c r="F1898" s="1">
        <f>Tabla1[[#This Row],[tiempo]]/(IF(Tabla1[[#This Row],[tamanho]]=$I$3,$L$3,IF(Tabla1[[#This Row],[tamanho]]=$I$4,$L$4,IF(Tabla1[[#This Row],[tamanho]]=$I$5,$L$5,IF(Tabla1[[#This Row],[tamanho]]=$I$6,$L$6,0))))*IF(C1898="8_1",9,25))</f>
        <v>1.6944069991651688E-6</v>
      </c>
    </row>
    <row r="1899" spans="1:6" ht="12.75" x14ac:dyDescent="0.2">
      <c r="A1899" s="1">
        <v>79</v>
      </c>
      <c r="B1899" s="1">
        <v>1</v>
      </c>
      <c r="C1899" s="1" t="s">
        <v>7</v>
      </c>
      <c r="D1899" s="1" t="s">
        <v>6</v>
      </c>
      <c r="E1899" s="1">
        <v>0.46434259414672802</v>
      </c>
      <c r="F1899" s="1">
        <f>Tabla1[[#This Row],[tiempo]]/(IF(Tabla1[[#This Row],[tamanho]]=$I$3,$L$3,IF(Tabla1[[#This Row],[tamanho]]=$I$4,$L$4,IF(Tabla1[[#This Row],[tamanho]]=$I$5,$L$5,IF(Tabla1[[#This Row],[tamanho]]=$I$6,$L$6,0))))*IF(C1899="8_1",9,25))</f>
        <v>6.889100465809547E-7</v>
      </c>
    </row>
    <row r="1900" spans="1:6" ht="12.75" x14ac:dyDescent="0.2">
      <c r="A1900" s="1">
        <v>79</v>
      </c>
      <c r="B1900" s="1">
        <v>1</v>
      </c>
      <c r="C1900" s="1" t="s">
        <v>8</v>
      </c>
      <c r="D1900" s="1" t="s">
        <v>6</v>
      </c>
      <c r="E1900" s="1">
        <v>0.46841931343078602</v>
      </c>
      <c r="F1900" s="1">
        <f>Tabla1[[#This Row],[tiempo]]/(IF(Tabla1[[#This Row],[tamanho]]=$I$3,$L$3,IF(Tabla1[[#This Row],[tamanho]]=$I$4,$L$4,IF(Tabla1[[#This Row],[tamanho]]=$I$5,$L$5,IF(Tabla1[[#This Row],[tamanho]]=$I$6,$L$6,0))))*IF(C1900="8_1",9,25))</f>
        <v>6.9495836716855614E-7</v>
      </c>
    </row>
    <row r="1901" spans="1:6" ht="12.75" x14ac:dyDescent="0.2">
      <c r="A1901" s="1">
        <v>79</v>
      </c>
      <c r="B1901" s="1">
        <v>1</v>
      </c>
      <c r="C1901" s="1" t="s">
        <v>5</v>
      </c>
      <c r="D1901" s="1" t="s">
        <v>9</v>
      </c>
      <c r="E1901" s="1">
        <v>0.41432762145995999</v>
      </c>
      <c r="F1901" s="1">
        <f>Tabla1[[#This Row],[tiempo]]/(IF(Tabla1[[#This Row],[tamanho]]=$I$3,$L$3,IF(Tabla1[[#This Row],[tamanho]]=$I$4,$L$4,IF(Tabla1[[#This Row],[tamanho]]=$I$5,$L$5,IF(Tabla1[[#This Row],[tamanho]]=$I$6,$L$6,0))))*IF(C1901="8_1",9,25))</f>
        <v>1.7075183555669299E-6</v>
      </c>
    </row>
    <row r="1902" spans="1:6" ht="12.75" x14ac:dyDescent="0.2">
      <c r="A1902" s="1">
        <v>79</v>
      </c>
      <c r="B1902" s="1">
        <v>1</v>
      </c>
      <c r="C1902" s="1" t="s">
        <v>7</v>
      </c>
      <c r="D1902" s="1" t="s">
        <v>9</v>
      </c>
      <c r="E1902" s="1">
        <v>0.46784114837646401</v>
      </c>
      <c r="F1902" s="1">
        <f>Tabla1[[#This Row],[tiempo]]/(IF(Tabla1[[#This Row],[tamanho]]=$I$3,$L$3,IF(Tabla1[[#This Row],[tamanho]]=$I$4,$L$4,IF(Tabla1[[#This Row],[tamanho]]=$I$5,$L$5,IF(Tabla1[[#This Row],[tamanho]]=$I$6,$L$6,0))))*IF(C1902="8_1",9,25))</f>
        <v>6.9410058733201888E-7</v>
      </c>
    </row>
    <row r="1903" spans="1:6" ht="12.75" x14ac:dyDescent="0.2">
      <c r="A1903" s="1">
        <v>79</v>
      </c>
      <c r="B1903" s="1">
        <v>1</v>
      </c>
      <c r="C1903" s="1" t="s">
        <v>8</v>
      </c>
      <c r="D1903" s="1" t="s">
        <v>9</v>
      </c>
      <c r="E1903" s="1">
        <v>0.472808837890625</v>
      </c>
      <c r="F1903" s="1">
        <f>Tabla1[[#This Row],[tiempo]]/(IF(Tabla1[[#This Row],[tamanho]]=$I$3,$L$3,IF(Tabla1[[#This Row],[tamanho]]=$I$4,$L$4,IF(Tabla1[[#This Row],[tamanho]]=$I$5,$L$5,IF(Tabla1[[#This Row],[tamanho]]=$I$6,$L$6,0))))*IF(C1903="8_1",9,25))</f>
        <v>7.0147077317699637E-7</v>
      </c>
    </row>
    <row r="1904" spans="1:6" ht="12.75" x14ac:dyDescent="0.2">
      <c r="A1904" s="1">
        <v>79</v>
      </c>
      <c r="B1904" s="1">
        <v>2</v>
      </c>
      <c r="C1904" s="1" t="s">
        <v>5</v>
      </c>
      <c r="D1904" s="1" t="s">
        <v>6</v>
      </c>
      <c r="E1904" s="1">
        <v>1.71193099021911</v>
      </c>
      <c r="F1904" s="1">
        <f>Tabla1[[#This Row],[tiempo]]/(IF(Tabla1[[#This Row],[tamanho]]=$I$3,$L$3,IF(Tabla1[[#This Row],[tamanho]]=$I$4,$L$4,IF(Tabla1[[#This Row],[tamanho]]=$I$5,$L$5,IF(Tabla1[[#This Row],[tamanho]]=$I$6,$L$6,0))))*IF(C1904="8_1",9,25))</f>
        <v>1.0364673143753338E-6</v>
      </c>
    </row>
    <row r="1905" spans="1:6" ht="12.75" x14ac:dyDescent="0.2">
      <c r="A1905" s="1">
        <v>79</v>
      </c>
      <c r="B1905" s="1">
        <v>2</v>
      </c>
      <c r="C1905" s="1" t="s">
        <v>7</v>
      </c>
      <c r="D1905" s="1" t="s">
        <v>6</v>
      </c>
      <c r="E1905" s="1">
        <v>1.92022681236267</v>
      </c>
      <c r="F1905" s="1">
        <f>Tabla1[[#This Row],[tiempo]]/(IF(Tabla1[[#This Row],[tamanho]]=$I$3,$L$3,IF(Tabla1[[#This Row],[tamanho]]=$I$4,$L$4,IF(Tabla1[[#This Row],[tamanho]]=$I$5,$L$5,IF(Tabla1[[#This Row],[tamanho]]=$I$6,$L$6,0))))*IF(C1905="8_1",9,25))</f>
        <v>4.1852787401241702E-7</v>
      </c>
    </row>
    <row r="1906" spans="1:6" ht="12.75" x14ac:dyDescent="0.2">
      <c r="A1906" s="1">
        <v>79</v>
      </c>
      <c r="B1906" s="1">
        <v>2</v>
      </c>
      <c r="C1906" s="1" t="s">
        <v>8</v>
      </c>
      <c r="D1906" s="1" t="s">
        <v>6</v>
      </c>
      <c r="E1906" s="1">
        <v>1.9186975955963099</v>
      </c>
      <c r="F1906" s="1">
        <f>Tabla1[[#This Row],[tiempo]]/(IF(Tabla1[[#This Row],[tamanho]]=$I$3,$L$3,IF(Tabla1[[#This Row],[tamanho]]=$I$4,$L$4,IF(Tabla1[[#This Row],[tamanho]]=$I$5,$L$5,IF(Tabla1[[#This Row],[tamanho]]=$I$6,$L$6,0))))*IF(C1906="8_1",9,25))</f>
        <v>4.1819456971835744E-7</v>
      </c>
    </row>
    <row r="1907" spans="1:6" ht="12.75" x14ac:dyDescent="0.2">
      <c r="A1907" s="1">
        <v>79</v>
      </c>
      <c r="B1907" s="1">
        <v>2</v>
      </c>
      <c r="C1907" s="1" t="s">
        <v>5</v>
      </c>
      <c r="D1907" s="1" t="s">
        <v>9</v>
      </c>
      <c r="E1907" s="1">
        <v>1.7065684795379601</v>
      </c>
      <c r="F1907" s="1">
        <f>Tabla1[[#This Row],[tiempo]]/(IF(Tabla1[[#This Row],[tamanho]]=$I$3,$L$3,IF(Tabla1[[#This Row],[tamanho]]=$I$4,$L$4,IF(Tabla1[[#This Row],[tamanho]]=$I$5,$L$5,IF(Tabla1[[#This Row],[tamanho]]=$I$6,$L$6,0))))*IF(C1907="8_1",9,25))</f>
        <v>1.033220649015716E-6</v>
      </c>
    </row>
    <row r="1908" spans="1:6" ht="12.75" x14ac:dyDescent="0.2">
      <c r="A1908" s="1">
        <v>79</v>
      </c>
      <c r="B1908" s="1">
        <v>2</v>
      </c>
      <c r="C1908" s="1" t="s">
        <v>7</v>
      </c>
      <c r="D1908" s="1" t="s">
        <v>9</v>
      </c>
      <c r="E1908" s="1">
        <v>1.9111845493316599</v>
      </c>
      <c r="F1908" s="1">
        <f>Tabla1[[#This Row],[tiempo]]/(IF(Tabla1[[#This Row],[tamanho]]=$I$3,$L$3,IF(Tabla1[[#This Row],[tamanho]]=$I$4,$L$4,IF(Tabla1[[#This Row],[tamanho]]=$I$5,$L$5,IF(Tabla1[[#This Row],[tamanho]]=$I$6,$L$6,0))))*IF(C1908="8_1",9,25))</f>
        <v>4.1655704478627304E-7</v>
      </c>
    </row>
    <row r="1909" spans="1:6" ht="12.75" x14ac:dyDescent="0.2">
      <c r="A1909" s="1">
        <v>79</v>
      </c>
      <c r="B1909" s="1">
        <v>2</v>
      </c>
      <c r="C1909" s="1" t="s">
        <v>8</v>
      </c>
      <c r="D1909" s="1" t="s">
        <v>9</v>
      </c>
      <c r="E1909" s="1">
        <v>1.9343457221984801</v>
      </c>
      <c r="F1909" s="1">
        <f>Tabla1[[#This Row],[tiempo]]/(IF(Tabla1[[#This Row],[tamanho]]=$I$3,$L$3,IF(Tabla1[[#This Row],[tamanho]]=$I$4,$L$4,IF(Tabla1[[#This Row],[tamanho]]=$I$5,$L$5,IF(Tabla1[[#This Row],[tamanho]]=$I$6,$L$6,0))))*IF(C1909="8_1",9,25))</f>
        <v>4.2160519658645397E-7</v>
      </c>
    </row>
    <row r="1910" spans="1:6" ht="12.75" x14ac:dyDescent="0.2">
      <c r="A1910" s="1">
        <v>79</v>
      </c>
      <c r="B1910" s="1">
        <v>3</v>
      </c>
      <c r="C1910" s="1" t="s">
        <v>5</v>
      </c>
      <c r="D1910" s="1" t="s">
        <v>6</v>
      </c>
      <c r="E1910" s="1">
        <v>3.8474664688110298</v>
      </c>
      <c r="F1910" s="1">
        <f>Tabla1[[#This Row],[tiempo]]/(IF(Tabla1[[#This Row],[tamanho]]=$I$3,$L$3,IF(Tabla1[[#This Row],[tamanho]]=$I$4,$L$4,IF(Tabla1[[#This Row],[tamanho]]=$I$5,$L$5,IF(Tabla1[[#This Row],[tamanho]]=$I$6,$L$6,0))))*IF(C1910="8_1",9,25))</f>
        <v>1.0344662333058361E-6</v>
      </c>
    </row>
    <row r="1911" spans="1:6" ht="12.75" x14ac:dyDescent="0.2">
      <c r="A1911" s="1">
        <v>79</v>
      </c>
      <c r="B1911" s="1">
        <v>3</v>
      </c>
      <c r="C1911" s="1" t="s">
        <v>7</v>
      </c>
      <c r="D1911" s="1" t="s">
        <v>6</v>
      </c>
      <c r="E1911" s="1">
        <v>4.3143975734710596</v>
      </c>
      <c r="F1911" s="1">
        <f>Tabla1[[#This Row],[tiempo]]/(IF(Tabla1[[#This Row],[tamanho]]=$I$3,$L$3,IF(Tabla1[[#This Row],[tamanho]]=$I$4,$L$4,IF(Tabla1[[#This Row],[tamanho]]=$I$5,$L$5,IF(Tabla1[[#This Row],[tamanho]]=$I$6,$L$6,0))))*IF(C1911="8_1",9,25))</f>
        <v>4.1760350908243224E-7</v>
      </c>
    </row>
    <row r="1912" spans="1:6" ht="12.75" x14ac:dyDescent="0.2">
      <c r="A1912" s="1">
        <v>79</v>
      </c>
      <c r="B1912" s="1">
        <v>3</v>
      </c>
      <c r="C1912" s="1" t="s">
        <v>8</v>
      </c>
      <c r="D1912" s="1" t="s">
        <v>6</v>
      </c>
      <c r="E1912" s="1">
        <v>4.3005471229553196</v>
      </c>
      <c r="F1912" s="1">
        <f>Tabla1[[#This Row],[tiempo]]/(IF(Tabla1[[#This Row],[tamanho]]=$I$3,$L$3,IF(Tabla1[[#This Row],[tamanho]]=$I$4,$L$4,IF(Tabla1[[#This Row],[tamanho]]=$I$5,$L$5,IF(Tabla1[[#This Row],[tamanho]]=$I$6,$L$6,0))))*IF(C1912="8_1",9,25))</f>
        <v>4.1626288234619658E-7</v>
      </c>
    </row>
    <row r="1913" spans="1:6" ht="12.75" x14ac:dyDescent="0.2">
      <c r="A1913" s="1">
        <v>79</v>
      </c>
      <c r="B1913" s="1">
        <v>3</v>
      </c>
      <c r="C1913" s="1" t="s">
        <v>5</v>
      </c>
      <c r="D1913" s="1" t="s">
        <v>9</v>
      </c>
      <c r="E1913" s="1">
        <v>3.8642902374267498</v>
      </c>
      <c r="F1913" s="1">
        <f>Tabla1[[#This Row],[tiempo]]/(IF(Tabla1[[#This Row],[tamanho]]=$I$3,$L$3,IF(Tabla1[[#This Row],[tamanho]]=$I$4,$L$4,IF(Tabla1[[#This Row],[tamanho]]=$I$5,$L$5,IF(Tabla1[[#This Row],[tamanho]]=$I$6,$L$6,0))))*IF(C1913="8_1",9,25))</f>
        <v>1.0389896308951309E-6</v>
      </c>
    </row>
    <row r="1914" spans="1:6" ht="12.75" x14ac:dyDescent="0.2">
      <c r="A1914" s="1">
        <v>79</v>
      </c>
      <c r="B1914" s="1">
        <v>3</v>
      </c>
      <c r="C1914" s="1" t="s">
        <v>7</v>
      </c>
      <c r="D1914" s="1" t="s">
        <v>9</v>
      </c>
      <c r="E1914" s="1">
        <v>4.3306612968444798</v>
      </c>
      <c r="F1914" s="1">
        <f>Tabla1[[#This Row],[tiempo]]/(IF(Tabla1[[#This Row],[tamanho]]=$I$3,$L$3,IF(Tabla1[[#This Row],[tamanho]]=$I$4,$L$4,IF(Tabla1[[#This Row],[tamanho]]=$I$5,$L$5,IF(Tabla1[[#This Row],[tamanho]]=$I$6,$L$6,0))))*IF(C1914="8_1",9,25))</f>
        <v>4.1917772375222733E-7</v>
      </c>
    </row>
    <row r="1915" spans="1:6" ht="12.75" x14ac:dyDescent="0.2">
      <c r="A1915" s="1">
        <v>79</v>
      </c>
      <c r="B1915" s="1">
        <v>3</v>
      </c>
      <c r="C1915" s="1" t="s">
        <v>8</v>
      </c>
      <c r="D1915" s="1" t="s">
        <v>9</v>
      </c>
      <c r="E1915" s="1">
        <v>4.3436827659606898</v>
      </c>
      <c r="F1915" s="1">
        <f>Tabla1[[#This Row],[tiempo]]/(IF(Tabla1[[#This Row],[tamanho]]=$I$3,$L$3,IF(Tabla1[[#This Row],[tamanho]]=$I$4,$L$4,IF(Tabla1[[#This Row],[tamanho]]=$I$5,$L$5,IF(Tabla1[[#This Row],[tamanho]]=$I$6,$L$6,0))))*IF(C1915="8_1",9,25))</f>
        <v>4.2043811088710205E-7</v>
      </c>
    </row>
    <row r="1916" spans="1:6" ht="12.75" x14ac:dyDescent="0.2">
      <c r="A1916" s="1">
        <v>79</v>
      </c>
      <c r="B1916" s="1">
        <v>4</v>
      </c>
      <c r="C1916" s="1" t="s">
        <v>5</v>
      </c>
      <c r="D1916" s="1" t="s">
        <v>6</v>
      </c>
      <c r="E1916" s="1">
        <v>6.8586540222167898</v>
      </c>
      <c r="F1916" s="1">
        <f>Tabla1[[#This Row],[tiempo]]/(IF(Tabla1[[#This Row],[tamanho]]=$I$3,$L$3,IF(Tabla1[[#This Row],[tamanho]]=$I$4,$L$4,IF(Tabla1[[#This Row],[tamanho]]=$I$5,$L$5,IF(Tabla1[[#This Row],[tamanho]]=$I$6,$L$6,0))))*IF(C1916="8_1",9,25))</f>
        <v>1.0357020413550893E-6</v>
      </c>
    </row>
    <row r="1917" spans="1:6" ht="12.75" x14ac:dyDescent="0.2">
      <c r="A1917" s="1">
        <v>79</v>
      </c>
      <c r="B1917" s="1">
        <v>4</v>
      </c>
      <c r="C1917" s="1" t="s">
        <v>7</v>
      </c>
      <c r="D1917" s="1" t="s">
        <v>6</v>
      </c>
      <c r="E1917" s="1">
        <v>7.7287263870239196</v>
      </c>
      <c r="F1917" s="1">
        <f>Tabla1[[#This Row],[tiempo]]/(IF(Tabla1[[#This Row],[tamanho]]=$I$3,$L$3,IF(Tabla1[[#This Row],[tamanho]]=$I$4,$L$4,IF(Tabla1[[#This Row],[tamanho]]=$I$5,$L$5,IF(Tabla1[[#This Row],[tamanho]]=$I$6,$L$6,0))))*IF(C1917="8_1",9,25))</f>
        <v>4.2015193670174869E-7</v>
      </c>
    </row>
    <row r="1918" spans="1:6" ht="12.75" x14ac:dyDescent="0.2">
      <c r="A1918" s="1">
        <v>79</v>
      </c>
      <c r="B1918" s="1">
        <v>4</v>
      </c>
      <c r="C1918" s="1" t="s">
        <v>8</v>
      </c>
      <c r="D1918" s="1" t="s">
        <v>6</v>
      </c>
      <c r="E1918" s="1">
        <v>7.7179915904998699</v>
      </c>
      <c r="F1918" s="1">
        <f>Tabla1[[#This Row],[tiempo]]/(IF(Tabla1[[#This Row],[tamanho]]=$I$3,$L$3,IF(Tabla1[[#This Row],[tamanho]]=$I$4,$L$4,IF(Tabla1[[#This Row],[tamanho]]=$I$5,$L$5,IF(Tabla1[[#This Row],[tamanho]]=$I$6,$L$6,0))))*IF(C1918="8_1",9,25))</f>
        <v>4.1956836764731157E-7</v>
      </c>
    </row>
    <row r="1919" spans="1:6" ht="12.75" x14ac:dyDescent="0.2">
      <c r="A1919" s="1">
        <v>79</v>
      </c>
      <c r="B1919" s="1">
        <v>4</v>
      </c>
      <c r="C1919" s="1" t="s">
        <v>5</v>
      </c>
      <c r="D1919" s="1" t="s">
        <v>9</v>
      </c>
      <c r="E1919" s="1">
        <v>6.8776788711547798</v>
      </c>
      <c r="F1919" s="1">
        <f>Tabla1[[#This Row],[tiempo]]/(IF(Tabla1[[#This Row],[tamanho]]=$I$3,$L$3,IF(Tabla1[[#This Row],[tamanho]]=$I$4,$L$4,IF(Tabla1[[#This Row],[tamanho]]=$I$5,$L$5,IF(Tabla1[[#This Row],[tamanho]]=$I$6,$L$6,0))))*IF(C1919="8_1",9,25))</f>
        <v>1.0385749191555619E-6</v>
      </c>
    </row>
    <row r="1920" spans="1:6" ht="12.75" x14ac:dyDescent="0.2">
      <c r="A1920" s="1">
        <v>79</v>
      </c>
      <c r="B1920" s="1">
        <v>4</v>
      </c>
      <c r="C1920" s="1" t="s">
        <v>7</v>
      </c>
      <c r="D1920" s="1" t="s">
        <v>9</v>
      </c>
      <c r="E1920" s="1">
        <v>7.7455418109893799</v>
      </c>
      <c r="F1920" s="1">
        <f>Tabla1[[#This Row],[tiempo]]/(IF(Tabla1[[#This Row],[tamanho]]=$I$3,$L$3,IF(Tabla1[[#This Row],[tamanho]]=$I$4,$L$4,IF(Tabla1[[#This Row],[tamanho]]=$I$5,$L$5,IF(Tabla1[[#This Row],[tamanho]]=$I$6,$L$6,0))))*IF(C1920="8_1",9,25))</f>
        <v>4.2106606311686033E-7</v>
      </c>
    </row>
    <row r="1921" spans="1:6" ht="12.75" x14ac:dyDescent="0.2">
      <c r="A1921" s="1">
        <v>79</v>
      </c>
      <c r="B1921" s="1">
        <v>4</v>
      </c>
      <c r="C1921" s="1" t="s">
        <v>8</v>
      </c>
      <c r="D1921" s="1" t="s">
        <v>9</v>
      </c>
      <c r="E1921" s="1">
        <v>7.83009910583496</v>
      </c>
      <c r="F1921" s="1">
        <f>Tabla1[[#This Row],[tiempo]]/(IF(Tabla1[[#This Row],[tamanho]]=$I$3,$L$3,IF(Tabla1[[#This Row],[tamanho]]=$I$4,$L$4,IF(Tabla1[[#This Row],[tamanho]]=$I$5,$L$5,IF(Tabla1[[#This Row],[tamanho]]=$I$6,$L$6,0))))*IF(C1921="8_1",9,25))</f>
        <v>4.2566279864773372E-7</v>
      </c>
    </row>
    <row r="1922" spans="1:6" ht="12.75" x14ac:dyDescent="0.2">
      <c r="A1922" s="1">
        <v>80</v>
      </c>
      <c r="B1922" s="1">
        <v>1</v>
      </c>
      <c r="C1922" s="1" t="s">
        <v>5</v>
      </c>
      <c r="D1922" s="1" t="s">
        <v>6</v>
      </c>
      <c r="E1922" s="1">
        <v>0.40993881225585899</v>
      </c>
      <c r="F1922" s="1">
        <f>Tabla1[[#This Row],[tiempo]]/(IF(Tabla1[[#This Row],[tamanho]]=$I$3,$L$3,IF(Tabla1[[#This Row],[tamanho]]=$I$4,$L$4,IF(Tabla1[[#This Row],[tamanho]]=$I$5,$L$5,IF(Tabla1[[#This Row],[tamanho]]=$I$6,$L$6,0))))*IF(C1922="8_1",9,25))</f>
        <v>1.6894312865738535E-6</v>
      </c>
    </row>
    <row r="1923" spans="1:6" ht="12.75" x14ac:dyDescent="0.2">
      <c r="A1923" s="1">
        <v>80</v>
      </c>
      <c r="B1923" s="1">
        <v>1</v>
      </c>
      <c r="C1923" s="1" t="s">
        <v>7</v>
      </c>
      <c r="D1923" s="1" t="s">
        <v>6</v>
      </c>
      <c r="E1923" s="1">
        <v>0.46202993392944303</v>
      </c>
      <c r="F1923" s="1">
        <f>Tabla1[[#This Row],[tiempo]]/(IF(Tabla1[[#This Row],[tamanho]]=$I$3,$L$3,IF(Tabla1[[#This Row],[tamanho]]=$I$4,$L$4,IF(Tabla1[[#This Row],[tamanho]]=$I$5,$L$5,IF(Tabla1[[#This Row],[tamanho]]=$I$6,$L$6,0))))*IF(C1923="8_1",9,25))</f>
        <v>6.8547892723481028E-7</v>
      </c>
    </row>
    <row r="1924" spans="1:6" ht="12.75" x14ac:dyDescent="0.2">
      <c r="A1924" s="1">
        <v>80</v>
      </c>
      <c r="B1924" s="1">
        <v>1</v>
      </c>
      <c r="C1924" s="1" t="s">
        <v>8</v>
      </c>
      <c r="D1924" s="1" t="s">
        <v>6</v>
      </c>
      <c r="E1924" s="1">
        <v>0.46444916725158603</v>
      </c>
      <c r="F1924" s="1">
        <f>Tabla1[[#This Row],[tiempo]]/(IF(Tabla1[[#This Row],[tamanho]]=$I$3,$L$3,IF(Tabla1[[#This Row],[tamanho]]=$I$4,$L$4,IF(Tabla1[[#This Row],[tamanho]]=$I$5,$L$5,IF(Tabla1[[#This Row],[tamanho]]=$I$6,$L$6,0))))*IF(C1924="8_1",9,25))</f>
        <v>6.89068161049792E-7</v>
      </c>
    </row>
    <row r="1925" spans="1:6" ht="12.75" x14ac:dyDescent="0.2">
      <c r="A1925" s="1">
        <v>80</v>
      </c>
      <c r="B1925" s="1">
        <v>1</v>
      </c>
      <c r="C1925" s="1" t="s">
        <v>5</v>
      </c>
      <c r="D1925" s="1" t="s">
        <v>9</v>
      </c>
      <c r="E1925" s="1">
        <v>0.40928912162780701</v>
      </c>
      <c r="F1925" s="1">
        <f>Tabla1[[#This Row],[tiempo]]/(IF(Tabla1[[#This Row],[tamanho]]=$I$3,$L$3,IF(Tabla1[[#This Row],[tamanho]]=$I$4,$L$4,IF(Tabla1[[#This Row],[tamanho]]=$I$5,$L$5,IF(Tabla1[[#This Row],[tamanho]]=$I$6,$L$6,0))))*IF(C1925="8_1",9,25))</f>
        <v>1.6867537951024195E-6</v>
      </c>
    </row>
    <row r="1926" spans="1:6" ht="12.75" x14ac:dyDescent="0.2">
      <c r="A1926" s="1">
        <v>80</v>
      </c>
      <c r="B1926" s="1">
        <v>1</v>
      </c>
      <c r="C1926" s="1" t="s">
        <v>7</v>
      </c>
      <c r="D1926" s="1" t="s">
        <v>9</v>
      </c>
      <c r="E1926" s="1">
        <v>0.46163535118103</v>
      </c>
      <c r="F1926" s="1">
        <f>Tabla1[[#This Row],[tiempo]]/(IF(Tabla1[[#This Row],[tamanho]]=$I$3,$L$3,IF(Tabla1[[#This Row],[tamanho]]=$I$4,$L$4,IF(Tabla1[[#This Row],[tamanho]]=$I$5,$L$5,IF(Tabla1[[#This Row],[tamanho]]=$I$6,$L$6,0))))*IF(C1926="8_1",9,25))</f>
        <v>6.8489351460410218E-7</v>
      </c>
    </row>
    <row r="1927" spans="1:6" ht="12.75" x14ac:dyDescent="0.2">
      <c r="A1927" s="1">
        <v>80</v>
      </c>
      <c r="B1927" s="1">
        <v>1</v>
      </c>
      <c r="C1927" s="1" t="s">
        <v>8</v>
      </c>
      <c r="D1927" s="1" t="s">
        <v>9</v>
      </c>
      <c r="E1927" s="1">
        <v>0.47063612937927202</v>
      </c>
      <c r="F1927" s="1">
        <f>Tabla1[[#This Row],[tiempo]]/(IF(Tabla1[[#This Row],[tamanho]]=$I$3,$L$3,IF(Tabla1[[#This Row],[tamanho]]=$I$4,$L$4,IF(Tabla1[[#This Row],[tamanho]]=$I$5,$L$5,IF(Tabla1[[#This Row],[tamanho]]=$I$6,$L$6,0))))*IF(C1927="8_1",9,25))</f>
        <v>6.9824728960983943E-7</v>
      </c>
    </row>
    <row r="1928" spans="1:6" ht="12.75" x14ac:dyDescent="0.2">
      <c r="A1928" s="1">
        <v>80</v>
      </c>
      <c r="B1928" s="1">
        <v>2</v>
      </c>
      <c r="C1928" s="1" t="s">
        <v>5</v>
      </c>
      <c r="D1928" s="1" t="s">
        <v>6</v>
      </c>
      <c r="E1928" s="1">
        <v>1.6795182228088299</v>
      </c>
      <c r="F1928" s="1">
        <f>Tabla1[[#This Row],[tiempo]]/(IF(Tabla1[[#This Row],[tamanho]]=$I$3,$L$3,IF(Tabla1[[#This Row],[tamanho]]=$I$4,$L$4,IF(Tabla1[[#This Row],[tamanho]]=$I$5,$L$5,IF(Tabla1[[#This Row],[tamanho]]=$I$6,$L$6,0))))*IF(C1928="8_1",9,25))</f>
        <v>1.0168434076985199E-6</v>
      </c>
    </row>
    <row r="1929" spans="1:6" ht="12.75" x14ac:dyDescent="0.2">
      <c r="A1929" s="1">
        <v>80</v>
      </c>
      <c r="B1929" s="1">
        <v>2</v>
      </c>
      <c r="C1929" s="1" t="s">
        <v>7</v>
      </c>
      <c r="D1929" s="1" t="s">
        <v>6</v>
      </c>
      <c r="E1929" s="1">
        <v>1.88727974891662</v>
      </c>
      <c r="F1929" s="1">
        <f>Tabla1[[#This Row],[tiempo]]/(IF(Tabla1[[#This Row],[tamanho]]=$I$3,$L$3,IF(Tabla1[[#This Row],[tamanho]]=$I$4,$L$4,IF(Tabla1[[#This Row],[tamanho]]=$I$5,$L$5,IF(Tabla1[[#This Row],[tamanho]]=$I$6,$L$6,0))))*IF(C1929="8_1",9,25))</f>
        <v>4.113468137698194E-7</v>
      </c>
    </row>
    <row r="1930" spans="1:6" ht="12.75" x14ac:dyDescent="0.2">
      <c r="A1930" s="1">
        <v>80</v>
      </c>
      <c r="B1930" s="1">
        <v>2</v>
      </c>
      <c r="C1930" s="1" t="s">
        <v>8</v>
      </c>
      <c r="D1930" s="1" t="s">
        <v>6</v>
      </c>
      <c r="E1930" s="1">
        <v>1.9136836528778001</v>
      </c>
      <c r="F1930" s="1">
        <f>Tabla1[[#This Row],[tiempo]]/(IF(Tabla1[[#This Row],[tamanho]]=$I$3,$L$3,IF(Tabla1[[#This Row],[tamanho]]=$I$4,$L$4,IF(Tabla1[[#This Row],[tamanho]]=$I$5,$L$5,IF(Tabla1[[#This Row],[tamanho]]=$I$6,$L$6,0))))*IF(C1930="8_1",9,25))</f>
        <v>4.1710174319761122E-7</v>
      </c>
    </row>
    <row r="1931" spans="1:6" ht="12.75" x14ac:dyDescent="0.2">
      <c r="A1931" s="1">
        <v>80</v>
      </c>
      <c r="B1931" s="1">
        <v>2</v>
      </c>
      <c r="C1931" s="1" t="s">
        <v>5</v>
      </c>
      <c r="D1931" s="1" t="s">
        <v>9</v>
      </c>
      <c r="E1931" s="1">
        <v>1.6961421966552701</v>
      </c>
      <c r="F1931" s="1">
        <f>Tabla1[[#This Row],[tiempo]]/(IF(Tabla1[[#This Row],[tamanho]]=$I$3,$L$3,IF(Tabla1[[#This Row],[tamanho]]=$I$4,$L$4,IF(Tabla1[[#This Row],[tamanho]]=$I$5,$L$5,IF(Tabla1[[#This Row],[tamanho]]=$I$6,$L$6,0))))*IF(C1931="8_1",9,25))</f>
        <v>1.0269081857913918E-6</v>
      </c>
    </row>
    <row r="1932" spans="1:6" ht="12.75" x14ac:dyDescent="0.2">
      <c r="A1932" s="1">
        <v>80</v>
      </c>
      <c r="B1932" s="1">
        <v>2</v>
      </c>
      <c r="C1932" s="1" t="s">
        <v>7</v>
      </c>
      <c r="D1932" s="1" t="s">
        <v>9</v>
      </c>
      <c r="E1932" s="1">
        <v>1.91183876991271</v>
      </c>
      <c r="F1932" s="1">
        <f>Tabla1[[#This Row],[tiempo]]/(IF(Tabla1[[#This Row],[tamanho]]=$I$3,$L$3,IF(Tabla1[[#This Row],[tamanho]]=$I$4,$L$4,IF(Tabla1[[#This Row],[tamanho]]=$I$5,$L$5,IF(Tabla1[[#This Row],[tamanho]]=$I$6,$L$6,0))))*IF(C1932="8_1",9,25))</f>
        <v>4.1669963708170355E-7</v>
      </c>
    </row>
    <row r="1933" spans="1:6" ht="12.75" x14ac:dyDescent="0.2">
      <c r="A1933" s="1">
        <v>80</v>
      </c>
      <c r="B1933" s="1">
        <v>2</v>
      </c>
      <c r="C1933" s="1" t="s">
        <v>8</v>
      </c>
      <c r="D1933" s="1" t="s">
        <v>9</v>
      </c>
      <c r="E1933" s="1">
        <v>1.922700881958</v>
      </c>
      <c r="F1933" s="1">
        <f>Tabla1[[#This Row],[tiempo]]/(IF(Tabla1[[#This Row],[tamanho]]=$I$3,$L$3,IF(Tabla1[[#This Row],[tamanho]]=$I$4,$L$4,IF(Tabla1[[#This Row],[tamanho]]=$I$5,$L$5,IF(Tabla1[[#This Row],[tamanho]]=$I$6,$L$6,0))))*IF(C1933="8_1",9,25))</f>
        <v>4.1906711608591887E-7</v>
      </c>
    </row>
    <row r="1934" spans="1:6" ht="12.75" x14ac:dyDescent="0.2">
      <c r="A1934" s="1">
        <v>80</v>
      </c>
      <c r="B1934" s="1">
        <v>3</v>
      </c>
      <c r="C1934" s="1" t="s">
        <v>5</v>
      </c>
      <c r="D1934" s="1" t="s">
        <v>6</v>
      </c>
      <c r="E1934" s="1">
        <v>3.8599905967712398</v>
      </c>
      <c r="F1934" s="1">
        <f>Tabla1[[#This Row],[tiempo]]/(IF(Tabla1[[#This Row],[tamanho]]=$I$3,$L$3,IF(Tabla1[[#This Row],[tamanho]]=$I$4,$L$4,IF(Tabla1[[#This Row],[tamanho]]=$I$5,$L$5,IF(Tabla1[[#This Row],[tamanho]]=$I$6,$L$6,0))))*IF(C1934="8_1",9,25))</f>
        <v>1.0378335888322487E-6</v>
      </c>
    </row>
    <row r="1935" spans="1:6" ht="12.75" x14ac:dyDescent="0.2">
      <c r="A1935" s="1">
        <v>80</v>
      </c>
      <c r="B1935" s="1">
        <v>3</v>
      </c>
      <c r="C1935" s="1" t="s">
        <v>7</v>
      </c>
      <c r="D1935" s="1" t="s">
        <v>6</v>
      </c>
      <c r="E1935" s="1">
        <v>4.3289475440979004</v>
      </c>
      <c r="F1935" s="1">
        <f>Tabla1[[#This Row],[tiempo]]/(IF(Tabla1[[#This Row],[tamanho]]=$I$3,$L$3,IF(Tabla1[[#This Row],[tamanho]]=$I$4,$L$4,IF(Tabla1[[#This Row],[tamanho]]=$I$5,$L$5,IF(Tabla1[[#This Row],[tamanho]]=$I$6,$L$6,0))))*IF(C1935="8_1",9,25))</f>
        <v>4.1901184447279517E-7</v>
      </c>
    </row>
    <row r="1936" spans="1:6" ht="12.75" x14ac:dyDescent="0.2">
      <c r="A1936" s="1">
        <v>80</v>
      </c>
      <c r="B1936" s="1">
        <v>3</v>
      </c>
      <c r="C1936" s="1" t="s">
        <v>8</v>
      </c>
      <c r="D1936" s="1" t="s">
        <v>6</v>
      </c>
      <c r="E1936" s="1">
        <v>4.3064277172088596</v>
      </c>
      <c r="F1936" s="1">
        <f>Tabla1[[#This Row],[tiempo]]/(IF(Tabla1[[#This Row],[tamanho]]=$I$3,$L$3,IF(Tabla1[[#This Row],[tamanho]]=$I$4,$L$4,IF(Tabla1[[#This Row],[tamanho]]=$I$5,$L$5,IF(Tabla1[[#This Row],[tamanho]]=$I$6,$L$6,0))))*IF(C1936="8_1",9,25))</f>
        <v>4.1683208273951883E-7</v>
      </c>
    </row>
    <row r="1937" spans="1:6" ht="12.75" x14ac:dyDescent="0.2">
      <c r="A1937" s="1">
        <v>80</v>
      </c>
      <c r="B1937" s="1">
        <v>3</v>
      </c>
      <c r="C1937" s="1" t="s">
        <v>5</v>
      </c>
      <c r="D1937" s="1" t="s">
        <v>9</v>
      </c>
      <c r="E1937" s="1">
        <v>3.86982917785644</v>
      </c>
      <c r="F1937" s="1">
        <f>Tabla1[[#This Row],[tiempo]]/(IF(Tabla1[[#This Row],[tamanho]]=$I$3,$L$3,IF(Tabla1[[#This Row],[tamanho]]=$I$4,$L$4,IF(Tabla1[[#This Row],[tamanho]]=$I$5,$L$5,IF(Tabla1[[#This Row],[tamanho]]=$I$6,$L$6,0))))*IF(C1937="8_1",9,25))</f>
        <v>1.0404788828195481E-6</v>
      </c>
    </row>
    <row r="1938" spans="1:6" ht="12.75" x14ac:dyDescent="0.2">
      <c r="A1938" s="1">
        <v>80</v>
      </c>
      <c r="B1938" s="1">
        <v>3</v>
      </c>
      <c r="C1938" s="1" t="s">
        <v>7</v>
      </c>
      <c r="D1938" s="1" t="s">
        <v>9</v>
      </c>
      <c r="E1938" s="1">
        <v>4.3307795524597097</v>
      </c>
      <c r="F1938" s="1">
        <f>Tabla1[[#This Row],[tiempo]]/(IF(Tabla1[[#This Row],[tamanho]]=$I$3,$L$3,IF(Tabla1[[#This Row],[tamanho]]=$I$4,$L$4,IF(Tabla1[[#This Row],[tamanho]]=$I$5,$L$5,IF(Tabla1[[#This Row],[tamanho]]=$I$6,$L$6,0))))*IF(C1938="8_1",9,25))</f>
        <v>4.1918917006867075E-7</v>
      </c>
    </row>
    <row r="1939" spans="1:6" ht="12.75" x14ac:dyDescent="0.2">
      <c r="A1939" s="1">
        <v>80</v>
      </c>
      <c r="B1939" s="1">
        <v>3</v>
      </c>
      <c r="C1939" s="1" t="s">
        <v>8</v>
      </c>
      <c r="D1939" s="1" t="s">
        <v>9</v>
      </c>
      <c r="E1939" s="1">
        <v>4.3677175045013401</v>
      </c>
      <c r="F1939" s="1">
        <f>Tabla1[[#This Row],[tiempo]]/(IF(Tabla1[[#This Row],[tamanho]]=$I$3,$L$3,IF(Tabla1[[#This Row],[tamanho]]=$I$4,$L$4,IF(Tabla1[[#This Row],[tamanho]]=$I$5,$L$5,IF(Tabla1[[#This Row],[tamanho]]=$I$6,$L$6,0))))*IF(C1939="8_1",9,25))</f>
        <v>4.2276450547256428E-7</v>
      </c>
    </row>
    <row r="1940" spans="1:6" ht="12.75" x14ac:dyDescent="0.2">
      <c r="A1940" s="1">
        <v>80</v>
      </c>
      <c r="B1940" s="1">
        <v>4</v>
      </c>
      <c r="C1940" s="1" t="s">
        <v>5</v>
      </c>
      <c r="D1940" s="1" t="s">
        <v>6</v>
      </c>
      <c r="E1940" s="1">
        <v>6.8887403011322004</v>
      </c>
      <c r="F1940" s="1">
        <f>Tabla1[[#This Row],[tiempo]]/(IF(Tabla1[[#This Row],[tamanho]]=$I$3,$L$3,IF(Tabla1[[#This Row],[tamanho]]=$I$4,$L$4,IF(Tabla1[[#This Row],[tamanho]]=$I$5,$L$5,IF(Tabla1[[#This Row],[tamanho]]=$I$6,$L$6,0))))*IF(C1940="8_1",9,25))</f>
        <v>1.0402452681148201E-6</v>
      </c>
    </row>
    <row r="1941" spans="1:6" ht="12.75" x14ac:dyDescent="0.2">
      <c r="A1941" s="1">
        <v>80</v>
      </c>
      <c r="B1941" s="1">
        <v>4</v>
      </c>
      <c r="C1941" s="1" t="s">
        <v>7</v>
      </c>
      <c r="D1941" s="1" t="s">
        <v>6</v>
      </c>
      <c r="E1941" s="1">
        <v>7.7153756618499703</v>
      </c>
      <c r="F1941" s="1">
        <f>Tabla1[[#This Row],[tiempo]]/(IF(Tabla1[[#This Row],[tamanho]]=$I$3,$L$3,IF(Tabla1[[#This Row],[tamanho]]=$I$4,$L$4,IF(Tabla1[[#This Row],[tamanho]]=$I$5,$L$5,IF(Tabla1[[#This Row],[tamanho]]=$I$6,$L$6,0))))*IF(C1941="8_1",9,25))</f>
        <v>4.1942615954813829E-7</v>
      </c>
    </row>
    <row r="1942" spans="1:6" ht="12.75" x14ac:dyDescent="0.2">
      <c r="A1942" s="1">
        <v>80</v>
      </c>
      <c r="B1942" s="1">
        <v>4</v>
      </c>
      <c r="C1942" s="1" t="s">
        <v>8</v>
      </c>
      <c r="D1942" s="1" t="s">
        <v>6</v>
      </c>
      <c r="E1942" s="1">
        <v>7.7137782573699898</v>
      </c>
      <c r="F1942" s="1">
        <f>Tabla1[[#This Row],[tiempo]]/(IF(Tabla1[[#This Row],[tamanho]]=$I$3,$L$3,IF(Tabla1[[#This Row],[tamanho]]=$I$4,$L$4,IF(Tabla1[[#This Row],[tamanho]]=$I$5,$L$5,IF(Tabla1[[#This Row],[tamanho]]=$I$6,$L$6,0))))*IF(C1942="8_1",9,25))</f>
        <v>4.1933932084375791E-7</v>
      </c>
    </row>
    <row r="1943" spans="1:6" ht="12.75" x14ac:dyDescent="0.2">
      <c r="A1943" s="1">
        <v>80</v>
      </c>
      <c r="B1943" s="1">
        <v>4</v>
      </c>
      <c r="C1943" s="1" t="s">
        <v>5</v>
      </c>
      <c r="D1943" s="1" t="s">
        <v>9</v>
      </c>
      <c r="E1943" s="1">
        <v>6.9212338924407897</v>
      </c>
      <c r="F1943" s="1">
        <f>Tabla1[[#This Row],[tiempo]]/(IF(Tabla1[[#This Row],[tamanho]]=$I$3,$L$3,IF(Tabla1[[#This Row],[tamanho]]=$I$4,$L$4,IF(Tabla1[[#This Row],[tamanho]]=$I$5,$L$5,IF(Tabla1[[#This Row],[tamanho]]=$I$6,$L$6,0))))*IF(C1943="8_1",9,25))</f>
        <v>1.0451520149401085E-6</v>
      </c>
    </row>
    <row r="1944" spans="1:6" ht="12.75" x14ac:dyDescent="0.2">
      <c r="A1944" s="1">
        <v>80</v>
      </c>
      <c r="B1944" s="1">
        <v>4</v>
      </c>
      <c r="C1944" s="1" t="s">
        <v>7</v>
      </c>
      <c r="D1944" s="1" t="s">
        <v>9</v>
      </c>
      <c r="E1944" s="1">
        <v>7.72416019439697</v>
      </c>
      <c r="F1944" s="1">
        <f>Tabla1[[#This Row],[tiempo]]/(IF(Tabla1[[#This Row],[tamanho]]=$I$3,$L$3,IF(Tabla1[[#This Row],[tamanho]]=$I$4,$L$4,IF(Tabla1[[#This Row],[tamanho]]=$I$5,$L$5,IF(Tabla1[[#This Row],[tamanho]]=$I$6,$L$6,0))))*IF(C1944="8_1",9,25))</f>
        <v>4.1990370761722745E-7</v>
      </c>
    </row>
    <row r="1945" spans="1:6" ht="12.75" x14ac:dyDescent="0.2">
      <c r="A1945" s="1">
        <v>80</v>
      </c>
      <c r="B1945" s="1">
        <v>4</v>
      </c>
      <c r="C1945" s="1" t="s">
        <v>8</v>
      </c>
      <c r="D1945" s="1" t="s">
        <v>9</v>
      </c>
      <c r="E1945" s="1">
        <v>7.8119120597839302</v>
      </c>
      <c r="F1945" s="1">
        <f>Tabla1[[#This Row],[tiempo]]/(IF(Tabla1[[#This Row],[tamanho]]=$I$3,$L$3,IF(Tabla1[[#This Row],[tamanho]]=$I$4,$L$4,IF(Tabla1[[#This Row],[tamanho]]=$I$5,$L$5,IF(Tabla1[[#This Row],[tamanho]]=$I$6,$L$6,0))))*IF(C1945="8_1",9,25))</f>
        <v>4.2467410759586086E-7</v>
      </c>
    </row>
    <row r="1946" spans="1:6" ht="12.75" x14ac:dyDescent="0.2">
      <c r="A1946" s="1">
        <v>81</v>
      </c>
      <c r="B1946" s="1">
        <v>1</v>
      </c>
      <c r="C1946" s="1" t="s">
        <v>5</v>
      </c>
      <c r="D1946" s="1" t="s">
        <v>6</v>
      </c>
      <c r="E1946" s="1">
        <v>0.408336400985717</v>
      </c>
      <c r="F1946" s="1">
        <f>Tabla1[[#This Row],[tiempo]]/(IF(Tabla1[[#This Row],[tamanho]]=$I$3,$L$3,IF(Tabla1[[#This Row],[tamanho]]=$I$4,$L$4,IF(Tabla1[[#This Row],[tamanho]]=$I$5,$L$5,IF(Tabla1[[#This Row],[tamanho]]=$I$6,$L$6,0))))*IF(C1946="8_1",9,25))</f>
        <v>1.6828274626547688E-6</v>
      </c>
    </row>
    <row r="1947" spans="1:6" ht="12.75" x14ac:dyDescent="0.2">
      <c r="A1947" s="1">
        <v>81</v>
      </c>
      <c r="B1947" s="1">
        <v>1</v>
      </c>
      <c r="C1947" s="1" t="s">
        <v>7</v>
      </c>
      <c r="D1947" s="1" t="s">
        <v>6</v>
      </c>
      <c r="E1947" s="1">
        <v>0.46465897560119601</v>
      </c>
      <c r="F1947" s="1">
        <f>Tabla1[[#This Row],[tiempo]]/(IF(Tabla1[[#This Row],[tamanho]]=$I$3,$L$3,IF(Tabla1[[#This Row],[tamanho]]=$I$4,$L$4,IF(Tabla1[[#This Row],[tamanho]]=$I$5,$L$5,IF(Tabla1[[#This Row],[tamanho]]=$I$6,$L$6,0))))*IF(C1947="8_1",9,25))</f>
        <v>6.893794378564534E-7</v>
      </c>
    </row>
    <row r="1948" spans="1:6" ht="12.75" x14ac:dyDescent="0.2">
      <c r="A1948" s="1">
        <v>81</v>
      </c>
      <c r="B1948" s="1">
        <v>1</v>
      </c>
      <c r="C1948" s="1" t="s">
        <v>8</v>
      </c>
      <c r="D1948" s="1" t="s">
        <v>6</v>
      </c>
      <c r="E1948" s="1">
        <v>0.46609759330749501</v>
      </c>
      <c r="F1948" s="1">
        <f>Tabla1[[#This Row],[tiempo]]/(IF(Tabla1[[#This Row],[tamanho]]=$I$3,$L$3,IF(Tabla1[[#This Row],[tamanho]]=$I$4,$L$4,IF(Tabla1[[#This Row],[tamanho]]=$I$5,$L$5,IF(Tabla1[[#This Row],[tamanho]]=$I$6,$L$6,0))))*IF(C1948="8_1",9,25))</f>
        <v>6.91513806323942E-7</v>
      </c>
    </row>
    <row r="1949" spans="1:6" ht="12.75" x14ac:dyDescent="0.2">
      <c r="A1949" s="1">
        <v>81</v>
      </c>
      <c r="B1949" s="1">
        <v>1</v>
      </c>
      <c r="C1949" s="1" t="s">
        <v>5</v>
      </c>
      <c r="D1949" s="1" t="s">
        <v>9</v>
      </c>
      <c r="E1949" s="1">
        <v>0.41036224365234297</v>
      </c>
      <c r="F1949" s="1">
        <f>Tabla1[[#This Row],[tiempo]]/(IF(Tabla1[[#This Row],[tamanho]]=$I$3,$L$3,IF(Tabla1[[#This Row],[tamanho]]=$I$4,$L$4,IF(Tabla1[[#This Row],[tamanho]]=$I$5,$L$5,IF(Tabla1[[#This Row],[tamanho]]=$I$6,$L$6,0))))*IF(C1949="8_1",9,25))</f>
        <v>1.6911763232172519E-6</v>
      </c>
    </row>
    <row r="1950" spans="1:6" ht="12.75" x14ac:dyDescent="0.2">
      <c r="A1950" s="1">
        <v>81</v>
      </c>
      <c r="B1950" s="1">
        <v>1</v>
      </c>
      <c r="C1950" s="1" t="s">
        <v>7</v>
      </c>
      <c r="D1950" s="1" t="s">
        <v>9</v>
      </c>
      <c r="E1950" s="1">
        <v>0.46453118324279702</v>
      </c>
      <c r="F1950" s="1">
        <f>Tabla1[[#This Row],[tiempo]]/(IF(Tabla1[[#This Row],[tamanho]]=$I$3,$L$3,IF(Tabla1[[#This Row],[tamanho]]=$I$4,$L$4,IF(Tabla1[[#This Row],[tamanho]]=$I$5,$L$5,IF(Tabla1[[#This Row],[tamanho]]=$I$6,$L$6,0))))*IF(C1950="8_1",9,25))</f>
        <v>6.8918984198330477E-7</v>
      </c>
    </row>
    <row r="1951" spans="1:6" ht="12.75" x14ac:dyDescent="0.2">
      <c r="A1951" s="1">
        <v>81</v>
      </c>
      <c r="B1951" s="1">
        <v>1</v>
      </c>
      <c r="C1951" s="1" t="s">
        <v>8</v>
      </c>
      <c r="D1951" s="1" t="s">
        <v>9</v>
      </c>
      <c r="E1951" s="1">
        <v>0.46947383880615201</v>
      </c>
      <c r="F1951" s="1">
        <f>Tabla1[[#This Row],[tiempo]]/(IF(Tabla1[[#This Row],[tamanho]]=$I$3,$L$3,IF(Tabla1[[#This Row],[tamanho]]=$I$4,$L$4,IF(Tabla1[[#This Row],[tamanho]]=$I$5,$L$5,IF(Tabla1[[#This Row],[tamanho]]=$I$6,$L$6,0))))*IF(C1951="8_1",9,25))</f>
        <v>6.9652288684566894E-7</v>
      </c>
    </row>
    <row r="1952" spans="1:6" ht="12.75" x14ac:dyDescent="0.2">
      <c r="A1952" s="1">
        <v>81</v>
      </c>
      <c r="B1952" s="1">
        <v>2</v>
      </c>
      <c r="C1952" s="1" t="s">
        <v>5</v>
      </c>
      <c r="D1952" s="1" t="s">
        <v>6</v>
      </c>
      <c r="E1952" s="1">
        <v>1.6844296455383301</v>
      </c>
      <c r="F1952" s="1">
        <f>Tabla1[[#This Row],[tiempo]]/(IF(Tabla1[[#This Row],[tamanho]]=$I$3,$L$3,IF(Tabla1[[#This Row],[tamanho]]=$I$4,$L$4,IF(Tabla1[[#This Row],[tamanho]]=$I$5,$L$5,IF(Tabla1[[#This Row],[tamanho]]=$I$6,$L$6,0))))*IF(C1952="8_1",9,25))</f>
        <v>1.0198169674712508E-6</v>
      </c>
    </row>
    <row r="1953" spans="1:6" ht="12.75" x14ac:dyDescent="0.2">
      <c r="A1953" s="1">
        <v>81</v>
      </c>
      <c r="B1953" s="1">
        <v>2</v>
      </c>
      <c r="C1953" s="1" t="s">
        <v>7</v>
      </c>
      <c r="D1953" s="1" t="s">
        <v>6</v>
      </c>
      <c r="E1953" s="1">
        <v>1.89103627204895</v>
      </c>
      <c r="F1953" s="1">
        <f>Tabla1[[#This Row],[tiempo]]/(IF(Tabla1[[#This Row],[tamanho]]=$I$3,$L$3,IF(Tabla1[[#This Row],[tamanho]]=$I$4,$L$4,IF(Tabla1[[#This Row],[tamanho]]=$I$5,$L$5,IF(Tabla1[[#This Row],[tamanho]]=$I$6,$L$6,0))))*IF(C1953="8_1",9,25))</f>
        <v>4.1216557623586274E-7</v>
      </c>
    </row>
    <row r="1954" spans="1:6" ht="12.75" x14ac:dyDescent="0.2">
      <c r="A1954" s="1">
        <v>81</v>
      </c>
      <c r="B1954" s="1">
        <v>2</v>
      </c>
      <c r="C1954" s="1" t="s">
        <v>8</v>
      </c>
      <c r="D1954" s="1" t="s">
        <v>6</v>
      </c>
      <c r="E1954" s="1">
        <v>1.8972425460815401</v>
      </c>
      <c r="F1954" s="1">
        <f>Tabla1[[#This Row],[tiempo]]/(IF(Tabla1[[#This Row],[tamanho]]=$I$3,$L$3,IF(Tabla1[[#This Row],[tamanho]]=$I$4,$L$4,IF(Tabla1[[#This Row],[tamanho]]=$I$5,$L$5,IF(Tabla1[[#This Row],[tamanho]]=$I$6,$L$6,0))))*IF(C1954="8_1",9,25))</f>
        <v>4.1351828033293887E-7</v>
      </c>
    </row>
    <row r="1955" spans="1:6" ht="12.75" x14ac:dyDescent="0.2">
      <c r="A1955" s="1">
        <v>81</v>
      </c>
      <c r="B1955" s="1">
        <v>2</v>
      </c>
      <c r="C1955" s="1" t="s">
        <v>5</v>
      </c>
      <c r="D1955" s="1" t="s">
        <v>9</v>
      </c>
      <c r="E1955" s="1">
        <v>1.68866515159606</v>
      </c>
      <c r="F1955" s="1">
        <f>Tabla1[[#This Row],[tiempo]]/(IF(Tabla1[[#This Row],[tamanho]]=$I$3,$L$3,IF(Tabla1[[#This Row],[tamanho]]=$I$4,$L$4,IF(Tabla1[[#This Row],[tamanho]]=$I$5,$L$5,IF(Tabla1[[#This Row],[tamanho]]=$I$6,$L$6,0))))*IF(C1955="8_1",9,25))</f>
        <v>1.022381301906317E-6</v>
      </c>
    </row>
    <row r="1956" spans="1:6" ht="12.75" x14ac:dyDescent="0.2">
      <c r="A1956" s="1">
        <v>81</v>
      </c>
      <c r="B1956" s="1">
        <v>2</v>
      </c>
      <c r="C1956" s="1" t="s">
        <v>7</v>
      </c>
      <c r="D1956" s="1" t="s">
        <v>9</v>
      </c>
      <c r="E1956" s="1">
        <v>1.89981412887573</v>
      </c>
      <c r="F1956" s="1">
        <f>Tabla1[[#This Row],[tiempo]]/(IF(Tabla1[[#This Row],[tamanho]]=$I$3,$L$3,IF(Tabla1[[#This Row],[tamanho]]=$I$4,$L$4,IF(Tabla1[[#This Row],[tamanho]]=$I$5,$L$5,IF(Tabla1[[#This Row],[tamanho]]=$I$6,$L$6,0))))*IF(C1956="8_1",9,25))</f>
        <v>4.1407877614143917E-7</v>
      </c>
    </row>
    <row r="1957" spans="1:6" ht="12.75" x14ac:dyDescent="0.2">
      <c r="A1957" s="1">
        <v>81</v>
      </c>
      <c r="B1957" s="1">
        <v>2</v>
      </c>
      <c r="C1957" s="1" t="s">
        <v>8</v>
      </c>
      <c r="D1957" s="1" t="s">
        <v>9</v>
      </c>
      <c r="E1957" s="1">
        <v>1.93125796318054</v>
      </c>
      <c r="F1957" s="1">
        <f>Tabla1[[#This Row],[tiempo]]/(IF(Tabla1[[#This Row],[tamanho]]=$I$3,$L$3,IF(Tabla1[[#This Row],[tamanho]]=$I$4,$L$4,IF(Tabla1[[#This Row],[tamanho]]=$I$5,$L$5,IF(Tabla1[[#This Row],[tamanho]]=$I$6,$L$6,0))))*IF(C1957="8_1",9,25))</f>
        <v>4.2093219628830113E-7</v>
      </c>
    </row>
    <row r="1958" spans="1:6" ht="12.75" x14ac:dyDescent="0.2">
      <c r="A1958" s="1">
        <v>81</v>
      </c>
      <c r="B1958" s="1">
        <v>3</v>
      </c>
      <c r="C1958" s="1" t="s">
        <v>5</v>
      </c>
      <c r="D1958" s="1" t="s">
        <v>6</v>
      </c>
      <c r="E1958" s="1">
        <v>3.8559410572052002</v>
      </c>
      <c r="F1958" s="1">
        <f>Tabla1[[#This Row],[tiempo]]/(IF(Tabla1[[#This Row],[tamanho]]=$I$3,$L$3,IF(Tabla1[[#This Row],[tamanho]]=$I$4,$L$4,IF(Tabla1[[#This Row],[tamanho]]=$I$5,$L$5,IF(Tabla1[[#This Row],[tamanho]]=$I$6,$L$6,0))))*IF(C1958="8_1",9,25))</f>
        <v>1.0367447913143334E-6</v>
      </c>
    </row>
    <row r="1959" spans="1:6" ht="12.75" x14ac:dyDescent="0.2">
      <c r="A1959" s="1">
        <v>81</v>
      </c>
      <c r="B1959" s="1">
        <v>3</v>
      </c>
      <c r="C1959" s="1" t="s">
        <v>7</v>
      </c>
      <c r="D1959" s="1" t="s">
        <v>6</v>
      </c>
      <c r="E1959" s="1">
        <v>4.3346476554870597</v>
      </c>
      <c r="F1959" s="1">
        <f>Tabla1[[#This Row],[tiempo]]/(IF(Tabla1[[#This Row],[tamanho]]=$I$3,$L$3,IF(Tabla1[[#This Row],[tamanho]]=$I$4,$L$4,IF(Tabla1[[#This Row],[tamanho]]=$I$5,$L$5,IF(Tabla1[[#This Row],[tamanho]]=$I$6,$L$6,0))))*IF(C1959="8_1",9,25))</f>
        <v>4.1956357538718991E-7</v>
      </c>
    </row>
    <row r="1960" spans="1:6" ht="12.75" x14ac:dyDescent="0.2">
      <c r="A1960" s="1">
        <v>81</v>
      </c>
      <c r="B1960" s="1">
        <v>3</v>
      </c>
      <c r="C1960" s="1" t="s">
        <v>8</v>
      </c>
      <c r="D1960" s="1" t="s">
        <v>6</v>
      </c>
      <c r="E1960" s="1">
        <v>4.3221154212951598</v>
      </c>
      <c r="F1960" s="1">
        <f>Tabla1[[#This Row],[tiempo]]/(IF(Tabla1[[#This Row],[tamanho]]=$I$3,$L$3,IF(Tabla1[[#This Row],[tamanho]]=$I$4,$L$4,IF(Tabla1[[#This Row],[tamanho]]=$I$5,$L$5,IF(Tabla1[[#This Row],[tamanho]]=$I$6,$L$6,0))))*IF(C1960="8_1",9,25))</f>
        <v>4.183505427711508E-7</v>
      </c>
    </row>
    <row r="1961" spans="1:6" ht="12.75" x14ac:dyDescent="0.2">
      <c r="A1961" s="1">
        <v>81</v>
      </c>
      <c r="B1961" s="1">
        <v>3</v>
      </c>
      <c r="C1961" s="1" t="s">
        <v>5</v>
      </c>
      <c r="D1961" s="1" t="s">
        <v>9</v>
      </c>
      <c r="E1961" s="1">
        <v>3.8815891742706299</v>
      </c>
      <c r="F1961" s="1">
        <f>Tabla1[[#This Row],[tiempo]]/(IF(Tabla1[[#This Row],[tamanho]]=$I$3,$L$3,IF(Tabla1[[#This Row],[tamanho]]=$I$4,$L$4,IF(Tabla1[[#This Row],[tamanho]]=$I$5,$L$5,IF(Tabla1[[#This Row],[tamanho]]=$I$6,$L$6,0))))*IF(C1961="8_1",9,25))</f>
        <v>1.0436407867095218E-6</v>
      </c>
    </row>
    <row r="1962" spans="1:6" ht="12.75" x14ac:dyDescent="0.2">
      <c r="A1962" s="1">
        <v>81</v>
      </c>
      <c r="B1962" s="1">
        <v>3</v>
      </c>
      <c r="C1962" s="1" t="s">
        <v>7</v>
      </c>
      <c r="D1962" s="1" t="s">
        <v>9</v>
      </c>
      <c r="E1962" s="1">
        <v>4.3289389610290501</v>
      </c>
      <c r="F1962" s="1">
        <f>Tabla1[[#This Row],[tiempo]]/(IF(Tabla1[[#This Row],[tamanho]]=$I$3,$L$3,IF(Tabla1[[#This Row],[tamanho]]=$I$4,$L$4,IF(Tabla1[[#This Row],[tamanho]]=$I$5,$L$5,IF(Tabla1[[#This Row],[tamanho]]=$I$6,$L$6,0))))*IF(C1962="8_1",9,25))</f>
        <v>4.1901101369176266E-7</v>
      </c>
    </row>
    <row r="1963" spans="1:6" ht="12.75" x14ac:dyDescent="0.2">
      <c r="A1963" s="1">
        <v>81</v>
      </c>
      <c r="B1963" s="1">
        <v>3</v>
      </c>
      <c r="C1963" s="1" t="s">
        <v>8</v>
      </c>
      <c r="D1963" s="1" t="s">
        <v>9</v>
      </c>
      <c r="E1963" s="1">
        <v>4.3587126731872496</v>
      </c>
      <c r="F1963" s="1">
        <f>Tabla1[[#This Row],[tiempo]]/(IF(Tabla1[[#This Row],[tamanho]]=$I$3,$L$3,IF(Tabla1[[#This Row],[tamanho]]=$I$4,$L$4,IF(Tabla1[[#This Row],[tamanho]]=$I$5,$L$5,IF(Tabla1[[#This Row],[tamanho]]=$I$6,$L$6,0))))*IF(C1963="8_1",9,25))</f>
        <v>4.2189290078351512E-7</v>
      </c>
    </row>
    <row r="1964" spans="1:6" ht="12.75" x14ac:dyDescent="0.2">
      <c r="A1964" s="1">
        <v>81</v>
      </c>
      <c r="B1964" s="1">
        <v>4</v>
      </c>
      <c r="C1964" s="1" t="s">
        <v>5</v>
      </c>
      <c r="D1964" s="1" t="s">
        <v>6</v>
      </c>
      <c r="E1964" s="1">
        <v>6.9244613647460902</v>
      </c>
      <c r="F1964" s="1">
        <f>Tabla1[[#This Row],[tiempo]]/(IF(Tabla1[[#This Row],[tamanho]]=$I$3,$L$3,IF(Tabla1[[#This Row],[tamanho]]=$I$4,$L$4,IF(Tabla1[[#This Row],[tamanho]]=$I$5,$L$5,IF(Tabla1[[#This Row],[tamanho]]=$I$6,$L$6,0))))*IF(C1964="8_1",9,25))</f>
        <v>1.0456393845674711E-6</v>
      </c>
    </row>
    <row r="1965" spans="1:6" ht="12.75" x14ac:dyDescent="0.2">
      <c r="A1965" s="1">
        <v>81</v>
      </c>
      <c r="B1965" s="1">
        <v>4</v>
      </c>
      <c r="C1965" s="1" t="s">
        <v>7</v>
      </c>
      <c r="D1965" s="1" t="s">
        <v>6</v>
      </c>
      <c r="E1965" s="1">
        <v>7.7514126300811697</v>
      </c>
      <c r="F1965" s="1">
        <f>Tabla1[[#This Row],[tiempo]]/(IF(Tabla1[[#This Row],[tamanho]]=$I$3,$L$3,IF(Tabla1[[#This Row],[tamanho]]=$I$4,$L$4,IF(Tabla1[[#This Row],[tamanho]]=$I$5,$L$5,IF(Tabla1[[#This Row],[tamanho]]=$I$6,$L$6,0))))*IF(C1965="8_1",9,25))</f>
        <v>4.2138521479695895E-7</v>
      </c>
    </row>
    <row r="1966" spans="1:6" ht="12.75" x14ac:dyDescent="0.2">
      <c r="A1966" s="1">
        <v>81</v>
      </c>
      <c r="B1966" s="1">
        <v>4</v>
      </c>
      <c r="C1966" s="1" t="s">
        <v>8</v>
      </c>
      <c r="D1966" s="1" t="s">
        <v>6</v>
      </c>
      <c r="E1966" s="1">
        <v>7.7547109127044598</v>
      </c>
      <c r="F1966" s="1">
        <f>Tabla1[[#This Row],[tiempo]]/(IF(Tabla1[[#This Row],[tamanho]]=$I$3,$L$3,IF(Tabla1[[#This Row],[tamanho]]=$I$4,$L$4,IF(Tabla1[[#This Row],[tamanho]]=$I$5,$L$5,IF(Tabla1[[#This Row],[tamanho]]=$I$6,$L$6,0))))*IF(C1966="8_1",9,25))</f>
        <v>4.2156451728000347E-7</v>
      </c>
    </row>
    <row r="1967" spans="1:6" ht="12.75" x14ac:dyDescent="0.2">
      <c r="A1967" s="1">
        <v>81</v>
      </c>
      <c r="B1967" s="1">
        <v>4</v>
      </c>
      <c r="C1967" s="1" t="s">
        <v>5</v>
      </c>
      <c r="D1967" s="1" t="s">
        <v>9</v>
      </c>
      <c r="E1967" s="1">
        <v>6.8965654373168901</v>
      </c>
      <c r="F1967" s="1">
        <f>Tabla1[[#This Row],[tiempo]]/(IF(Tabla1[[#This Row],[tamanho]]=$I$3,$L$3,IF(Tabla1[[#This Row],[tamanho]]=$I$4,$L$4,IF(Tabla1[[#This Row],[tamanho]]=$I$5,$L$5,IF(Tabla1[[#This Row],[tamanho]]=$I$6,$L$6,0))))*IF(C1967="8_1",9,25))</f>
        <v>1.04142691534387E-6</v>
      </c>
    </row>
    <row r="1968" spans="1:6" ht="12.75" x14ac:dyDescent="0.2">
      <c r="A1968" s="1">
        <v>81</v>
      </c>
      <c r="B1968" s="1">
        <v>4</v>
      </c>
      <c r="C1968" s="1" t="s">
        <v>7</v>
      </c>
      <c r="D1968" s="1" t="s">
        <v>9</v>
      </c>
      <c r="E1968" s="1">
        <v>7.7473123073577801</v>
      </c>
      <c r="F1968" s="1">
        <f>Tabla1[[#This Row],[tiempo]]/(IF(Tabla1[[#This Row],[tamanho]]=$I$3,$L$3,IF(Tabla1[[#This Row],[tamanho]]=$I$4,$L$4,IF(Tabla1[[#This Row],[tamanho]]=$I$5,$L$5,IF(Tabla1[[#This Row],[tamanho]]=$I$6,$L$6,0))))*IF(C1968="8_1",9,25))</f>
        <v>4.21162311507715E-7</v>
      </c>
    </row>
    <row r="1969" spans="1:6" ht="12.75" x14ac:dyDescent="0.2">
      <c r="A1969" s="1">
        <v>81</v>
      </c>
      <c r="B1969" s="1">
        <v>4</v>
      </c>
      <c r="C1969" s="1" t="s">
        <v>8</v>
      </c>
      <c r="D1969" s="1" t="s">
        <v>9</v>
      </c>
      <c r="E1969" s="1">
        <v>7.8071711063385001</v>
      </c>
      <c r="F1969" s="1">
        <f>Tabla1[[#This Row],[tiempo]]/(IF(Tabla1[[#This Row],[tamanho]]=$I$3,$L$3,IF(Tabla1[[#This Row],[tamanho]]=$I$4,$L$4,IF(Tabla1[[#This Row],[tamanho]]=$I$5,$L$5,IF(Tabla1[[#This Row],[tamanho]]=$I$6,$L$6,0))))*IF(C1969="8_1",9,25))</f>
        <v>4.2441637809786044E-7</v>
      </c>
    </row>
    <row r="1970" spans="1:6" ht="12.75" x14ac:dyDescent="0.2">
      <c r="A1970" s="1">
        <v>82</v>
      </c>
      <c r="B1970" s="1">
        <v>1</v>
      </c>
      <c r="C1970" s="1" t="s">
        <v>5</v>
      </c>
      <c r="D1970" s="1" t="s">
        <v>6</v>
      </c>
      <c r="E1970" s="1">
        <v>0.41071319580078097</v>
      </c>
      <c r="F1970" s="1">
        <f>Tabla1[[#This Row],[tiempo]]/(IF(Tabla1[[#This Row],[tamanho]]=$I$3,$L$3,IF(Tabla1[[#This Row],[tamanho]]=$I$4,$L$4,IF(Tabla1[[#This Row],[tamanho]]=$I$5,$L$5,IF(Tabla1[[#This Row],[tamanho]]=$I$6,$L$6,0))))*IF(C1970="8_1",9,25))</f>
        <v>1.6926226598946667E-6</v>
      </c>
    </row>
    <row r="1971" spans="1:6" ht="12.75" x14ac:dyDescent="0.2">
      <c r="A1971" s="1">
        <v>82</v>
      </c>
      <c r="B1971" s="1">
        <v>1</v>
      </c>
      <c r="C1971" s="1" t="s">
        <v>7</v>
      </c>
      <c r="D1971" s="1" t="s">
        <v>6</v>
      </c>
      <c r="E1971" s="1">
        <v>0.463428974151611</v>
      </c>
      <c r="F1971" s="1">
        <f>Tabla1[[#This Row],[tiempo]]/(IF(Tabla1[[#This Row],[tamanho]]=$I$3,$L$3,IF(Tabla1[[#This Row],[tamanho]]=$I$4,$L$4,IF(Tabla1[[#This Row],[tamanho]]=$I$5,$L$5,IF(Tabla1[[#This Row],[tamanho]]=$I$6,$L$6,0))))*IF(C1971="8_1",9,25))</f>
        <v>6.8755457757740591E-7</v>
      </c>
    </row>
    <row r="1972" spans="1:6" ht="12.75" x14ac:dyDescent="0.2">
      <c r="A1972" s="1">
        <v>82</v>
      </c>
      <c r="B1972" s="1">
        <v>1</v>
      </c>
      <c r="C1972" s="1" t="s">
        <v>8</v>
      </c>
      <c r="D1972" s="1" t="s">
        <v>6</v>
      </c>
      <c r="E1972" s="1">
        <v>0.466179609298706</v>
      </c>
      <c r="F1972" s="1">
        <f>Tabla1[[#This Row],[tiempo]]/(IF(Tabla1[[#This Row],[tamanho]]=$I$3,$L$3,IF(Tabla1[[#This Row],[tamanho]]=$I$4,$L$4,IF(Tabla1[[#This Row],[tamanho]]=$I$5,$L$5,IF(Tabla1[[#This Row],[tamanho]]=$I$6,$L$6,0))))*IF(C1972="8_1",9,25))</f>
        <v>6.9163548725745488E-7</v>
      </c>
    </row>
    <row r="1973" spans="1:6" ht="12.75" x14ac:dyDescent="0.2">
      <c r="A1973" s="1">
        <v>82</v>
      </c>
      <c r="B1973" s="1">
        <v>1</v>
      </c>
      <c r="C1973" s="1" t="s">
        <v>5</v>
      </c>
      <c r="D1973" s="1" t="s">
        <v>9</v>
      </c>
      <c r="E1973" s="1">
        <v>0.41042757034301702</v>
      </c>
      <c r="F1973" s="1">
        <f>Tabla1[[#This Row],[tiempo]]/(IF(Tabla1[[#This Row],[tamanho]]=$I$3,$L$3,IF(Tabla1[[#This Row],[tamanho]]=$I$4,$L$4,IF(Tabla1[[#This Row],[tamanho]]=$I$5,$L$5,IF(Tabla1[[#This Row],[tamanho]]=$I$6,$L$6,0))))*IF(C1973="8_1",9,25))</f>
        <v>1.6914455462129126E-6</v>
      </c>
    </row>
    <row r="1974" spans="1:6" ht="12.75" x14ac:dyDescent="0.2">
      <c r="A1974" s="1">
        <v>82</v>
      </c>
      <c r="B1974" s="1">
        <v>1</v>
      </c>
      <c r="C1974" s="1" t="s">
        <v>7</v>
      </c>
      <c r="D1974" s="1" t="s">
        <v>9</v>
      </c>
      <c r="E1974" s="1">
        <v>0.45997166633605902</v>
      </c>
      <c r="F1974" s="1">
        <f>Tabla1[[#This Row],[tiempo]]/(IF(Tabla1[[#This Row],[tamanho]]=$I$3,$L$3,IF(Tabla1[[#This Row],[tamanho]]=$I$4,$L$4,IF(Tabla1[[#This Row],[tamanho]]=$I$5,$L$5,IF(Tabla1[[#This Row],[tamanho]]=$I$6,$L$6,0))))*IF(C1974="8_1",9,25))</f>
        <v>6.8242523101674125E-7</v>
      </c>
    </row>
    <row r="1975" spans="1:6" ht="12.75" x14ac:dyDescent="0.2">
      <c r="A1975" s="1">
        <v>82</v>
      </c>
      <c r="B1975" s="1">
        <v>1</v>
      </c>
      <c r="C1975" s="1" t="s">
        <v>8</v>
      </c>
      <c r="D1975" s="1" t="s">
        <v>9</v>
      </c>
      <c r="E1975" s="1">
        <v>0.46866512298583901</v>
      </c>
      <c r="F1975" s="1">
        <f>Tabla1[[#This Row],[tiempo]]/(IF(Tabla1[[#This Row],[tamanho]]=$I$3,$L$3,IF(Tabla1[[#This Row],[tamanho]]=$I$4,$L$4,IF(Tabla1[[#This Row],[tamanho]]=$I$5,$L$5,IF(Tabla1[[#This Row],[tamanho]]=$I$6,$L$6,0))))*IF(C1975="8_1",9,25))</f>
        <v>6.9532305624544932E-7</v>
      </c>
    </row>
    <row r="1976" spans="1:6" ht="12.75" x14ac:dyDescent="0.2">
      <c r="A1976" s="1">
        <v>82</v>
      </c>
      <c r="B1976" s="1">
        <v>2</v>
      </c>
      <c r="C1976" s="1" t="s">
        <v>5</v>
      </c>
      <c r="D1976" s="1" t="s">
        <v>6</v>
      </c>
      <c r="E1976" s="1">
        <v>1.67948198318481</v>
      </c>
      <c r="F1976" s="1">
        <f>Tabla1[[#This Row],[tiempo]]/(IF(Tabla1[[#This Row],[tamanho]]=$I$3,$L$3,IF(Tabla1[[#This Row],[tamanho]]=$I$4,$L$4,IF(Tabla1[[#This Row],[tamanho]]=$I$5,$L$5,IF(Tabla1[[#This Row],[tamanho]]=$I$6,$L$6,0))))*IF(C1976="8_1",9,25))</f>
        <v>1.0168214668691311E-6</v>
      </c>
    </row>
    <row r="1977" spans="1:6" ht="12.75" x14ac:dyDescent="0.2">
      <c r="A1977" s="1">
        <v>82</v>
      </c>
      <c r="B1977" s="1">
        <v>2</v>
      </c>
      <c r="C1977" s="1" t="s">
        <v>7</v>
      </c>
      <c r="D1977" s="1" t="s">
        <v>6</v>
      </c>
      <c r="E1977" s="1">
        <v>1.9043614864349301</v>
      </c>
      <c r="F1977" s="1">
        <f>Tabla1[[#This Row],[tiempo]]/(IF(Tabla1[[#This Row],[tamanho]]=$I$3,$L$3,IF(Tabla1[[#This Row],[tamanho]]=$I$4,$L$4,IF(Tabla1[[#This Row],[tamanho]]=$I$5,$L$5,IF(Tabla1[[#This Row],[tamanho]]=$I$6,$L$6,0))))*IF(C1977="8_1",9,25))</f>
        <v>4.1506990691795645E-7</v>
      </c>
    </row>
    <row r="1978" spans="1:6" ht="12.75" x14ac:dyDescent="0.2">
      <c r="A1978" s="1">
        <v>82</v>
      </c>
      <c r="B1978" s="1">
        <v>2</v>
      </c>
      <c r="C1978" s="1" t="s">
        <v>8</v>
      </c>
      <c r="D1978" s="1" t="s">
        <v>6</v>
      </c>
      <c r="E1978" s="1">
        <v>1.9066846370696999</v>
      </c>
      <c r="F1978" s="1">
        <f>Tabla1[[#This Row],[tiempo]]/(IF(Tabla1[[#This Row],[tamanho]]=$I$3,$L$3,IF(Tabla1[[#This Row],[tamanho]]=$I$4,$L$4,IF(Tabla1[[#This Row],[tamanho]]=$I$5,$L$5,IF(Tabla1[[#This Row],[tamanho]]=$I$6,$L$6,0))))*IF(C1978="8_1",9,25))</f>
        <v>4.1557625506908161E-7</v>
      </c>
    </row>
    <row r="1979" spans="1:6" ht="12.75" x14ac:dyDescent="0.2">
      <c r="A1979" s="1">
        <v>82</v>
      </c>
      <c r="B1979" s="1">
        <v>2</v>
      </c>
      <c r="C1979" s="1" t="s">
        <v>5</v>
      </c>
      <c r="D1979" s="1" t="s">
        <v>9</v>
      </c>
      <c r="E1979" s="1">
        <v>1.6947889328002901</v>
      </c>
      <c r="F1979" s="1">
        <f>Tabla1[[#This Row],[tiempo]]/(IF(Tabla1[[#This Row],[tamanho]]=$I$3,$L$3,IF(Tabla1[[#This Row],[tamanho]]=$I$4,$L$4,IF(Tabla1[[#This Row],[tamanho]]=$I$5,$L$5,IF(Tabla1[[#This Row],[tamanho]]=$I$6,$L$6,0))))*IF(C1979="8_1",9,25))</f>
        <v>1.0260888690307128E-6</v>
      </c>
    </row>
    <row r="1980" spans="1:6" ht="12.75" x14ac:dyDescent="0.2">
      <c r="A1980" s="1">
        <v>82</v>
      </c>
      <c r="B1980" s="1">
        <v>2</v>
      </c>
      <c r="C1980" s="1" t="s">
        <v>7</v>
      </c>
      <c r="D1980" s="1" t="s">
        <v>9</v>
      </c>
      <c r="E1980" s="1">
        <v>1.9042441844940099</v>
      </c>
      <c r="F1980" s="1">
        <f>Tabla1[[#This Row],[tiempo]]/(IF(Tabla1[[#This Row],[tamanho]]=$I$3,$L$3,IF(Tabla1[[#This Row],[tamanho]]=$I$4,$L$4,IF(Tabla1[[#This Row],[tamanho]]=$I$5,$L$5,IF(Tabla1[[#This Row],[tamanho]]=$I$6,$L$6,0))))*IF(C1980="8_1",9,25))</f>
        <v>4.1504434007781301E-7</v>
      </c>
    </row>
    <row r="1981" spans="1:6" ht="12.75" x14ac:dyDescent="0.2">
      <c r="A1981" s="1">
        <v>82</v>
      </c>
      <c r="B1981" s="1">
        <v>2</v>
      </c>
      <c r="C1981" s="1" t="s">
        <v>8</v>
      </c>
      <c r="D1981" s="1" t="s">
        <v>9</v>
      </c>
      <c r="E1981" s="1">
        <v>1.92475390434265</v>
      </c>
      <c r="F1981" s="1">
        <f>Tabla1[[#This Row],[tiempo]]/(IF(Tabla1[[#This Row],[tamanho]]=$I$3,$L$3,IF(Tabla1[[#This Row],[tamanho]]=$I$4,$L$4,IF(Tabla1[[#This Row],[tamanho]]=$I$5,$L$5,IF(Tabla1[[#This Row],[tamanho]]=$I$6,$L$6,0))))*IF(C1981="8_1",9,25))</f>
        <v>4.1951458775354454E-7</v>
      </c>
    </row>
    <row r="1982" spans="1:6" ht="12.75" x14ac:dyDescent="0.2">
      <c r="A1982" s="1">
        <v>82</v>
      </c>
      <c r="B1982" s="1">
        <v>3</v>
      </c>
      <c r="C1982" s="1" t="s">
        <v>5</v>
      </c>
      <c r="D1982" s="1" t="s">
        <v>6</v>
      </c>
      <c r="E1982" s="1">
        <v>3.84214162826538</v>
      </c>
      <c r="F1982" s="1">
        <f>Tabla1[[#This Row],[tiempo]]/(IF(Tabla1[[#This Row],[tamanho]]=$I$3,$L$3,IF(Tabla1[[#This Row],[tamanho]]=$I$4,$L$4,IF(Tabla1[[#This Row],[tamanho]]=$I$5,$L$5,IF(Tabla1[[#This Row],[tamanho]]=$I$6,$L$6,0))))*IF(C1982="8_1",9,25))</f>
        <v>1.0330345463017085E-6</v>
      </c>
    </row>
    <row r="1983" spans="1:6" ht="12.75" x14ac:dyDescent="0.2">
      <c r="A1983" s="1">
        <v>82</v>
      </c>
      <c r="B1983" s="1">
        <v>3</v>
      </c>
      <c r="C1983" s="1" t="s">
        <v>7</v>
      </c>
      <c r="D1983" s="1" t="s">
        <v>6</v>
      </c>
      <c r="E1983" s="1">
        <v>4.33220982551574</v>
      </c>
      <c r="F1983" s="1">
        <f>Tabla1[[#This Row],[tiempo]]/(IF(Tabla1[[#This Row],[tamanho]]=$I$3,$L$3,IF(Tabla1[[#This Row],[tamanho]]=$I$4,$L$4,IF(Tabla1[[#This Row],[tamanho]]=$I$5,$L$5,IF(Tabla1[[#This Row],[tamanho]]=$I$6,$L$6,0))))*IF(C1983="8_1",9,25))</f>
        <v>4.1932761049678911E-7</v>
      </c>
    </row>
    <row r="1984" spans="1:6" ht="12.75" x14ac:dyDescent="0.2">
      <c r="A1984" s="1">
        <v>82</v>
      </c>
      <c r="B1984" s="1">
        <v>3</v>
      </c>
      <c r="C1984" s="1" t="s">
        <v>8</v>
      </c>
      <c r="D1984" s="1" t="s">
        <v>6</v>
      </c>
      <c r="E1984" s="1">
        <v>4.3559808731079102</v>
      </c>
      <c r="F1984" s="1">
        <f>Tabla1[[#This Row],[tiempo]]/(IF(Tabla1[[#This Row],[tamanho]]=$I$3,$L$3,IF(Tabla1[[#This Row],[tamanho]]=$I$4,$L$4,IF(Tabla1[[#This Row],[tamanho]]=$I$5,$L$5,IF(Tabla1[[#This Row],[tamanho]]=$I$6,$L$6,0))))*IF(C1984="8_1",9,25))</f>
        <v>4.2162848164276221E-7</v>
      </c>
    </row>
    <row r="1985" spans="1:6" ht="12.75" x14ac:dyDescent="0.2">
      <c r="A1985" s="1">
        <v>82</v>
      </c>
      <c r="B1985" s="1">
        <v>3</v>
      </c>
      <c r="C1985" s="1" t="s">
        <v>5</v>
      </c>
      <c r="D1985" s="1" t="s">
        <v>9</v>
      </c>
      <c r="E1985" s="1">
        <v>3.8781242370605402</v>
      </c>
      <c r="F1985" s="1">
        <f>Tabla1[[#This Row],[tiempo]]/(IF(Tabla1[[#This Row],[tamanho]]=$I$3,$L$3,IF(Tabla1[[#This Row],[tamanho]]=$I$4,$L$4,IF(Tabla1[[#This Row],[tamanho]]=$I$5,$L$5,IF(Tabla1[[#This Row],[tamanho]]=$I$6,$L$6,0))))*IF(C1985="8_1",9,25))</f>
        <v>1.0427091709115885E-6</v>
      </c>
    </row>
    <row r="1986" spans="1:6" ht="12.75" x14ac:dyDescent="0.2">
      <c r="A1986" s="1">
        <v>82</v>
      </c>
      <c r="B1986" s="1">
        <v>3</v>
      </c>
      <c r="C1986" s="1" t="s">
        <v>7</v>
      </c>
      <c r="D1986" s="1" t="s">
        <v>9</v>
      </c>
      <c r="E1986" s="1">
        <v>4.3389184474944997</v>
      </c>
      <c r="F1986" s="1">
        <f>Tabla1[[#This Row],[tiempo]]/(IF(Tabla1[[#This Row],[tamanho]]=$I$3,$L$3,IF(Tabla1[[#This Row],[tamanho]]=$I$4,$L$4,IF(Tabla1[[#This Row],[tamanho]]=$I$5,$L$5,IF(Tabla1[[#This Row],[tamanho]]=$I$6,$L$6,0))))*IF(C1986="8_1",9,25))</f>
        <v>4.1997695818246933E-7</v>
      </c>
    </row>
    <row r="1987" spans="1:6" ht="12.75" x14ac:dyDescent="0.2">
      <c r="A1987" s="1">
        <v>82</v>
      </c>
      <c r="B1987" s="1">
        <v>3</v>
      </c>
      <c r="C1987" s="1" t="s">
        <v>8</v>
      </c>
      <c r="D1987" s="1" t="s">
        <v>9</v>
      </c>
      <c r="E1987" s="1">
        <v>4.3631899356841997</v>
      </c>
      <c r="F1987" s="1">
        <f>Tabla1[[#This Row],[tiempo]]/(IF(Tabla1[[#This Row],[tamanho]]=$I$3,$L$3,IF(Tabla1[[#This Row],[tamanho]]=$I$4,$L$4,IF(Tabla1[[#This Row],[tamanho]]=$I$5,$L$5,IF(Tabla1[[#This Row],[tamanho]]=$I$6,$L$6,0))))*IF(C1987="8_1",9,25))</f>
        <v>4.2232626847807028E-7</v>
      </c>
    </row>
    <row r="1988" spans="1:6" ht="12.75" x14ac:dyDescent="0.2">
      <c r="A1988" s="1">
        <v>82</v>
      </c>
      <c r="B1988" s="1">
        <v>4</v>
      </c>
      <c r="C1988" s="1" t="s">
        <v>5</v>
      </c>
      <c r="D1988" s="1" t="s">
        <v>6</v>
      </c>
      <c r="E1988" s="1">
        <v>6.90699934959411</v>
      </c>
      <c r="F1988" s="1">
        <f>Tabla1[[#This Row],[tiempo]]/(IF(Tabla1[[#This Row],[tamanho]]=$I$3,$L$3,IF(Tabla1[[#This Row],[tamanho]]=$I$4,$L$4,IF(Tabla1[[#This Row],[tamanho]]=$I$5,$L$5,IF(Tabla1[[#This Row],[tamanho]]=$I$6,$L$6,0))))*IF(C1988="8_1",9,25))</f>
        <v>1.0430025049872362E-6</v>
      </c>
    </row>
    <row r="1989" spans="1:6" ht="12.75" x14ac:dyDescent="0.2">
      <c r="A1989" s="1">
        <v>82</v>
      </c>
      <c r="B1989" s="1">
        <v>4</v>
      </c>
      <c r="C1989" s="1" t="s">
        <v>7</v>
      </c>
      <c r="D1989" s="1" t="s">
        <v>6</v>
      </c>
      <c r="E1989" s="1">
        <v>7.7512290477752597</v>
      </c>
      <c r="F1989" s="1">
        <f>Tabla1[[#This Row],[tiempo]]/(IF(Tabla1[[#This Row],[tamanho]]=$I$3,$L$3,IF(Tabla1[[#This Row],[tamanho]]=$I$4,$L$4,IF(Tabla1[[#This Row],[tamanho]]=$I$5,$L$5,IF(Tabla1[[#This Row],[tamanho]]=$I$6,$L$6,0))))*IF(C1989="8_1",9,25))</f>
        <v>4.2137523482645545E-7</v>
      </c>
    </row>
    <row r="1990" spans="1:6" ht="12.75" x14ac:dyDescent="0.2">
      <c r="A1990" s="1">
        <v>82</v>
      </c>
      <c r="B1990" s="1">
        <v>4</v>
      </c>
      <c r="C1990" s="1" t="s">
        <v>8</v>
      </c>
      <c r="D1990" s="1" t="s">
        <v>6</v>
      </c>
      <c r="E1990" s="1">
        <v>7.7120070457458496</v>
      </c>
      <c r="F1990" s="1">
        <f>Tabla1[[#This Row],[tiempo]]/(IF(Tabla1[[#This Row],[tamanho]]=$I$3,$L$3,IF(Tabla1[[#This Row],[tamanho]]=$I$4,$L$4,IF(Tabla1[[#This Row],[tamanho]]=$I$5,$L$5,IF(Tabla1[[#This Row],[tamanho]]=$I$6,$L$6,0))))*IF(C1990="8_1",9,25))</f>
        <v>4.1924303356990116E-7</v>
      </c>
    </row>
    <row r="1991" spans="1:6" ht="12.75" x14ac:dyDescent="0.2">
      <c r="A1991" s="1">
        <v>82</v>
      </c>
      <c r="B1991" s="1">
        <v>4</v>
      </c>
      <c r="C1991" s="1" t="s">
        <v>5</v>
      </c>
      <c r="D1991" s="1" t="s">
        <v>9</v>
      </c>
      <c r="E1991" s="1">
        <v>6.8658819198608398</v>
      </c>
      <c r="F1991" s="1">
        <f>Tabla1[[#This Row],[tiempo]]/(IF(Tabla1[[#This Row],[tamanho]]=$I$3,$L$3,IF(Tabla1[[#This Row],[tamanho]]=$I$4,$L$4,IF(Tabla1[[#This Row],[tamanho]]=$I$5,$L$5,IF(Tabla1[[#This Row],[tamanho]]=$I$6,$L$6,0))))*IF(C1991="8_1",9,25))</f>
        <v>1.0367935016212582E-6</v>
      </c>
    </row>
    <row r="1992" spans="1:6" ht="12.75" x14ac:dyDescent="0.2">
      <c r="A1992" s="1">
        <v>82</v>
      </c>
      <c r="B1992" s="1">
        <v>4</v>
      </c>
      <c r="C1992" s="1" t="s">
        <v>7</v>
      </c>
      <c r="D1992" s="1" t="s">
        <v>9</v>
      </c>
      <c r="E1992" s="1">
        <v>7.72840976715087</v>
      </c>
      <c r="F1992" s="1">
        <f>Tabla1[[#This Row],[tiempo]]/(IF(Tabla1[[#This Row],[tamanho]]=$I$3,$L$3,IF(Tabla1[[#This Row],[tamanho]]=$I$4,$L$4,IF(Tabla1[[#This Row],[tamanho]]=$I$5,$L$5,IF(Tabla1[[#This Row],[tamanho]]=$I$6,$L$6,0))))*IF(C1992="8_1",9,25))</f>
        <v>4.2013472449288029E-7</v>
      </c>
    </row>
    <row r="1993" spans="1:6" ht="12.75" x14ac:dyDescent="0.2">
      <c r="A1993" s="1">
        <v>82</v>
      </c>
      <c r="B1993" s="1">
        <v>4</v>
      </c>
      <c r="C1993" s="1" t="s">
        <v>8</v>
      </c>
      <c r="D1993" s="1" t="s">
        <v>9</v>
      </c>
      <c r="E1993" s="1">
        <v>7.8219997882843</v>
      </c>
      <c r="F1993" s="1">
        <f>Tabla1[[#This Row],[tiempo]]/(IF(Tabla1[[#This Row],[tamanho]]=$I$3,$L$3,IF(Tabla1[[#This Row],[tamanho]]=$I$4,$L$4,IF(Tabla1[[#This Row],[tamanho]]=$I$5,$L$5,IF(Tabla1[[#This Row],[tamanho]]=$I$6,$L$6,0))))*IF(C1993="8_1",9,25))</f>
        <v>4.2522250049452368E-7</v>
      </c>
    </row>
    <row r="1994" spans="1:6" ht="12.75" x14ac:dyDescent="0.2">
      <c r="A1994" s="1">
        <v>83</v>
      </c>
      <c r="B1994" s="1">
        <v>1</v>
      </c>
      <c r="C1994" s="1" t="s">
        <v>5</v>
      </c>
      <c r="D1994" s="1" t="s">
        <v>6</v>
      </c>
      <c r="E1994" s="1">
        <v>0.40905737876892001</v>
      </c>
      <c r="F1994" s="1">
        <f>Tabla1[[#This Row],[tiempo]]/(IF(Tabla1[[#This Row],[tamanho]]=$I$3,$L$3,IF(Tabla1[[#This Row],[tamanho]]=$I$4,$L$4,IF(Tabla1[[#This Row],[tamanho]]=$I$5,$L$5,IF(Tabla1[[#This Row],[tamanho]]=$I$6,$L$6,0))))*IF(C1994="8_1",9,25))</f>
        <v>1.6857987412638008E-6</v>
      </c>
    </row>
    <row r="1995" spans="1:6" ht="12.75" x14ac:dyDescent="0.2">
      <c r="A1995" s="1">
        <v>83</v>
      </c>
      <c r="B1995" s="1">
        <v>1</v>
      </c>
      <c r="C1995" s="1" t="s">
        <v>7</v>
      </c>
      <c r="D1995" s="1" t="s">
        <v>6</v>
      </c>
      <c r="E1995" s="1">
        <v>0.46268773078918402</v>
      </c>
      <c r="F1995" s="1">
        <f>Tabla1[[#This Row],[tiempo]]/(IF(Tabla1[[#This Row],[tamanho]]=$I$3,$L$3,IF(Tabla1[[#This Row],[tamanho]]=$I$4,$L$4,IF(Tabla1[[#This Row],[tamanho]]=$I$5,$L$5,IF(Tabla1[[#This Row],[tamanho]]=$I$6,$L$6,0))))*IF(C1995="8_1",9,25))</f>
        <v>6.8645485076841963E-7</v>
      </c>
    </row>
    <row r="1996" spans="1:6" ht="12.75" x14ac:dyDescent="0.2">
      <c r="A1996" s="1">
        <v>83</v>
      </c>
      <c r="B1996" s="1">
        <v>1</v>
      </c>
      <c r="C1996" s="1" t="s">
        <v>8</v>
      </c>
      <c r="D1996" s="1" t="s">
        <v>6</v>
      </c>
      <c r="E1996" s="1">
        <v>0.46736335754394498</v>
      </c>
      <c r="F1996" s="1">
        <f>Tabla1[[#This Row],[tiempo]]/(IF(Tabla1[[#This Row],[tamanho]]=$I$3,$L$3,IF(Tabla1[[#This Row],[tamanho]]=$I$4,$L$4,IF(Tabla1[[#This Row],[tamanho]]=$I$5,$L$5,IF(Tabla1[[#This Row],[tamanho]]=$I$6,$L$6,0))))*IF(C1996="8_1",9,25))</f>
        <v>6.9339172514957898E-7</v>
      </c>
    </row>
    <row r="1997" spans="1:6" ht="12.75" x14ac:dyDescent="0.2">
      <c r="A1997" s="1">
        <v>83</v>
      </c>
      <c r="B1997" s="1">
        <v>1</v>
      </c>
      <c r="C1997" s="1" t="s">
        <v>5</v>
      </c>
      <c r="D1997" s="1" t="s">
        <v>9</v>
      </c>
      <c r="E1997" s="1">
        <v>0.41088080406188898</v>
      </c>
      <c r="F1997" s="1">
        <f>Tabla1[[#This Row],[tiempo]]/(IF(Tabla1[[#This Row],[tamanho]]=$I$3,$L$3,IF(Tabla1[[#This Row],[tamanho]]=$I$4,$L$4,IF(Tabla1[[#This Row],[tamanho]]=$I$5,$L$5,IF(Tabla1[[#This Row],[tamanho]]=$I$6,$L$6,0))))*IF(C1997="8_1",9,25))</f>
        <v>1.6933134035660109E-6</v>
      </c>
    </row>
    <row r="1998" spans="1:6" ht="12.75" x14ac:dyDescent="0.2">
      <c r="A1998" s="1">
        <v>83</v>
      </c>
      <c r="B1998" s="1">
        <v>1</v>
      </c>
      <c r="C1998" s="1" t="s">
        <v>7</v>
      </c>
      <c r="D1998" s="1" t="s">
        <v>9</v>
      </c>
      <c r="E1998" s="1">
        <v>0.46540737152099598</v>
      </c>
      <c r="F1998" s="1">
        <f>Tabla1[[#This Row],[tiempo]]/(IF(Tabla1[[#This Row],[tamanho]]=$I$3,$L$3,IF(Tabla1[[#This Row],[tamanho]]=$I$4,$L$4,IF(Tabla1[[#This Row],[tamanho]]=$I$5,$L$5,IF(Tabla1[[#This Row],[tamanho]]=$I$6,$L$6,0))))*IF(C1998="8_1",9,25))</f>
        <v>6.9048977637475762E-7</v>
      </c>
    </row>
    <row r="1999" spans="1:6" ht="12.75" x14ac:dyDescent="0.2">
      <c r="A1999" s="1">
        <v>83</v>
      </c>
      <c r="B1999" s="1">
        <v>1</v>
      </c>
      <c r="C1999" s="1" t="s">
        <v>8</v>
      </c>
      <c r="D1999" s="1" t="s">
        <v>9</v>
      </c>
      <c r="E1999" s="1">
        <v>0.467540502548217</v>
      </c>
      <c r="F1999" s="1">
        <f>Tabla1[[#This Row],[tiempo]]/(IF(Tabla1[[#This Row],[tamanho]]=$I$3,$L$3,IF(Tabla1[[#This Row],[tamanho]]=$I$4,$L$4,IF(Tabla1[[#This Row],[tamanho]]=$I$5,$L$5,IF(Tabla1[[#This Row],[tamanho]]=$I$6,$L$6,0))))*IF(C1999="8_1",9,25))</f>
        <v>6.9365454181702011E-7</v>
      </c>
    </row>
    <row r="2000" spans="1:6" ht="12.75" x14ac:dyDescent="0.2">
      <c r="A2000" s="1">
        <v>83</v>
      </c>
      <c r="B2000" s="1">
        <v>2</v>
      </c>
      <c r="C2000" s="1" t="s">
        <v>5</v>
      </c>
      <c r="D2000" s="1" t="s">
        <v>6</v>
      </c>
      <c r="E2000" s="1">
        <v>1.6979176998138401</v>
      </c>
      <c r="F2000" s="1">
        <f>Tabla1[[#This Row],[tiempo]]/(IF(Tabla1[[#This Row],[tamanho]]=$I$3,$L$3,IF(Tabla1[[#This Row],[tamanho]]=$I$4,$L$4,IF(Tabla1[[#This Row],[tamanho]]=$I$5,$L$5,IF(Tabla1[[#This Row],[tamanho]]=$I$6,$L$6,0))))*IF(C2000="8_1",9,25))</f>
        <v>1.0279831420839888E-6</v>
      </c>
    </row>
    <row r="2001" spans="1:6" ht="12.75" x14ac:dyDescent="0.2">
      <c r="A2001" s="1">
        <v>83</v>
      </c>
      <c r="B2001" s="1">
        <v>2</v>
      </c>
      <c r="C2001" s="1" t="s">
        <v>7</v>
      </c>
      <c r="D2001" s="1" t="s">
        <v>6</v>
      </c>
      <c r="E2001" s="1">
        <v>1.9101128578186</v>
      </c>
      <c r="F2001" s="1">
        <f>Tabla1[[#This Row],[tiempo]]/(IF(Tabla1[[#This Row],[tamanho]]=$I$3,$L$3,IF(Tabla1[[#This Row],[tamanho]]=$I$4,$L$4,IF(Tabla1[[#This Row],[tamanho]]=$I$5,$L$5,IF(Tabla1[[#This Row],[tamanho]]=$I$6,$L$6,0))))*IF(C2001="8_1",9,25))</f>
        <v>4.1632346156179642E-7</v>
      </c>
    </row>
    <row r="2002" spans="1:6" ht="12.75" x14ac:dyDescent="0.2">
      <c r="A2002" s="1">
        <v>83</v>
      </c>
      <c r="B2002" s="1">
        <v>2</v>
      </c>
      <c r="C2002" s="1" t="s">
        <v>8</v>
      </c>
      <c r="D2002" s="1" t="s">
        <v>6</v>
      </c>
      <c r="E2002" s="1">
        <v>1.90846276283264</v>
      </c>
      <c r="F2002" s="1">
        <f>Tabla1[[#This Row],[tiempo]]/(IF(Tabla1[[#This Row],[tamanho]]=$I$3,$L$3,IF(Tabla1[[#This Row],[tamanho]]=$I$4,$L$4,IF(Tabla1[[#This Row],[tamanho]]=$I$5,$L$5,IF(Tabla1[[#This Row],[tamanho]]=$I$6,$L$6,0))))*IF(C2002="8_1",9,25))</f>
        <v>4.1596381095076121E-7</v>
      </c>
    </row>
    <row r="2003" spans="1:6" ht="12.75" x14ac:dyDescent="0.2">
      <c r="A2003" s="1">
        <v>83</v>
      </c>
      <c r="B2003" s="1">
        <v>2</v>
      </c>
      <c r="C2003" s="1" t="s">
        <v>5</v>
      </c>
      <c r="D2003" s="1" t="s">
        <v>9</v>
      </c>
      <c r="E2003" s="1">
        <v>1.7069518566131501</v>
      </c>
      <c r="F2003" s="1">
        <f>Tabla1[[#This Row],[tiempo]]/(IF(Tabla1[[#This Row],[tamanho]]=$I$3,$L$3,IF(Tabla1[[#This Row],[tamanho]]=$I$4,$L$4,IF(Tabla1[[#This Row],[tamanho]]=$I$5,$L$5,IF(Tabla1[[#This Row],[tamanho]]=$I$6,$L$6,0))))*IF(C2003="8_1",9,25))</f>
        <v>1.0334527598950595E-6</v>
      </c>
    </row>
    <row r="2004" spans="1:6" ht="12.75" x14ac:dyDescent="0.2">
      <c r="A2004" s="1">
        <v>83</v>
      </c>
      <c r="B2004" s="1">
        <v>2</v>
      </c>
      <c r="C2004" s="1" t="s">
        <v>7</v>
      </c>
      <c r="D2004" s="1" t="s">
        <v>9</v>
      </c>
      <c r="E2004" s="1">
        <v>1.91285347938537</v>
      </c>
      <c r="F2004" s="1">
        <f>Tabla1[[#This Row],[tiempo]]/(IF(Tabla1[[#This Row],[tamanho]]=$I$3,$L$3,IF(Tabla1[[#This Row],[tamanho]]=$I$4,$L$4,IF(Tabla1[[#This Row],[tamanho]]=$I$5,$L$5,IF(Tabla1[[#This Row],[tamanho]]=$I$6,$L$6,0))))*IF(C2004="8_1",9,25))</f>
        <v>4.1692080064196552E-7</v>
      </c>
    </row>
    <row r="2005" spans="1:6" ht="12.75" x14ac:dyDescent="0.2">
      <c r="A2005" s="1">
        <v>83</v>
      </c>
      <c r="B2005" s="1">
        <v>2</v>
      </c>
      <c r="C2005" s="1" t="s">
        <v>8</v>
      </c>
      <c r="D2005" s="1" t="s">
        <v>9</v>
      </c>
      <c r="E2005" s="1">
        <v>1.9323813915252599</v>
      </c>
      <c r="F2005" s="1">
        <f>Tabla1[[#This Row],[tiempo]]/(IF(Tabla1[[#This Row],[tamanho]]=$I$3,$L$3,IF(Tabla1[[#This Row],[tamanho]]=$I$4,$L$4,IF(Tabla1[[#This Row],[tamanho]]=$I$5,$L$5,IF(Tabla1[[#This Row],[tamanho]]=$I$6,$L$6,0))))*IF(C2005="8_1",9,25))</f>
        <v>4.2117705594430312E-7</v>
      </c>
    </row>
    <row r="2006" spans="1:6" ht="12.75" x14ac:dyDescent="0.2">
      <c r="A2006" s="1">
        <v>83</v>
      </c>
      <c r="B2006" s="1">
        <v>3</v>
      </c>
      <c r="C2006" s="1" t="s">
        <v>5</v>
      </c>
      <c r="D2006" s="1" t="s">
        <v>6</v>
      </c>
      <c r="E2006" s="1">
        <v>3.85068559646606</v>
      </c>
      <c r="F2006" s="1">
        <f>Tabla1[[#This Row],[tiempo]]/(IF(Tabla1[[#This Row],[tamanho]]=$I$3,$L$3,IF(Tabla1[[#This Row],[tamanho]]=$I$4,$L$4,IF(Tabla1[[#This Row],[tamanho]]=$I$5,$L$5,IF(Tabla1[[#This Row],[tamanho]]=$I$6,$L$6,0))))*IF(C2006="8_1",9,25))</f>
        <v>1.0353317584213437E-6</v>
      </c>
    </row>
    <row r="2007" spans="1:6" ht="12.75" x14ac:dyDescent="0.2">
      <c r="A2007" s="1">
        <v>83</v>
      </c>
      <c r="B2007" s="1">
        <v>3</v>
      </c>
      <c r="C2007" s="1" t="s">
        <v>7</v>
      </c>
      <c r="D2007" s="1" t="s">
        <v>6</v>
      </c>
      <c r="E2007" s="1">
        <v>4.3316121101379297</v>
      </c>
      <c r="F2007" s="1">
        <f>Tabla1[[#This Row],[tiempo]]/(IF(Tabla1[[#This Row],[tamanho]]=$I$3,$L$3,IF(Tabla1[[#This Row],[tamanho]]=$I$4,$L$4,IF(Tabla1[[#This Row],[tamanho]]=$I$5,$L$5,IF(Tabla1[[#This Row],[tamanho]]=$I$6,$L$6,0))))*IF(C2007="8_1",9,25))</f>
        <v>4.1926975582879541E-7</v>
      </c>
    </row>
    <row r="2008" spans="1:6" ht="12.75" x14ac:dyDescent="0.2">
      <c r="A2008" s="1">
        <v>83</v>
      </c>
      <c r="B2008" s="1">
        <v>3</v>
      </c>
      <c r="C2008" s="1" t="s">
        <v>8</v>
      </c>
      <c r="D2008" s="1" t="s">
        <v>6</v>
      </c>
      <c r="E2008" s="1">
        <v>4.34535408020019</v>
      </c>
      <c r="F2008" s="1">
        <f>Tabla1[[#This Row],[tiempo]]/(IF(Tabla1[[#This Row],[tamanho]]=$I$3,$L$3,IF(Tabla1[[#This Row],[tamanho]]=$I$4,$L$4,IF(Tabla1[[#This Row],[tamanho]]=$I$5,$L$5,IF(Tabla1[[#This Row],[tamanho]]=$I$6,$L$6,0))))*IF(C2008="8_1",9,25))</f>
        <v>4.2059988241587501E-7</v>
      </c>
    </row>
    <row r="2009" spans="1:6" ht="12.75" x14ac:dyDescent="0.2">
      <c r="A2009" s="1">
        <v>83</v>
      </c>
      <c r="B2009" s="1">
        <v>3</v>
      </c>
      <c r="C2009" s="1" t="s">
        <v>5</v>
      </c>
      <c r="D2009" s="1" t="s">
        <v>9</v>
      </c>
      <c r="E2009" s="1">
        <v>3.8646094799041699</v>
      </c>
      <c r="F2009" s="1">
        <f>Tabla1[[#This Row],[tiempo]]/(IF(Tabla1[[#This Row],[tamanho]]=$I$3,$L$3,IF(Tabla1[[#This Row],[tamanho]]=$I$4,$L$4,IF(Tabla1[[#This Row],[tamanho]]=$I$5,$L$5,IF(Tabla1[[#This Row],[tamanho]]=$I$6,$L$6,0))))*IF(C2009="8_1",9,25))</f>
        <v>1.0390754654477657E-6</v>
      </c>
    </row>
    <row r="2010" spans="1:6" ht="12.75" x14ac:dyDescent="0.2">
      <c r="A2010" s="1">
        <v>83</v>
      </c>
      <c r="B2010" s="1">
        <v>3</v>
      </c>
      <c r="C2010" s="1" t="s">
        <v>7</v>
      </c>
      <c r="D2010" s="1" t="s">
        <v>9</v>
      </c>
      <c r="E2010" s="1">
        <v>4.3002254962921098</v>
      </c>
      <c r="F2010" s="1">
        <f>Tabla1[[#This Row],[tiempo]]/(IF(Tabla1[[#This Row],[tamanho]]=$I$3,$L$3,IF(Tabla1[[#This Row],[tamanho]]=$I$4,$L$4,IF(Tabla1[[#This Row],[tamanho]]=$I$5,$L$5,IF(Tabla1[[#This Row],[tamanho]]=$I$6,$L$6,0))))*IF(C2010="8_1",9,25))</f>
        <v>4.1623175113473924E-7</v>
      </c>
    </row>
    <row r="2011" spans="1:6" ht="12.75" x14ac:dyDescent="0.2">
      <c r="A2011" s="1">
        <v>83</v>
      </c>
      <c r="B2011" s="1">
        <v>3</v>
      </c>
      <c r="C2011" s="1" t="s">
        <v>8</v>
      </c>
      <c r="D2011" s="1" t="s">
        <v>9</v>
      </c>
      <c r="E2011" s="1">
        <v>4.37062311172485</v>
      </c>
      <c r="F2011" s="1">
        <f>Tabla1[[#This Row],[tiempo]]/(IF(Tabla1[[#This Row],[tamanho]]=$I$3,$L$3,IF(Tabla1[[#This Row],[tamanho]]=$I$4,$L$4,IF(Tabla1[[#This Row],[tamanho]]=$I$5,$L$5,IF(Tabla1[[#This Row],[tamanho]]=$I$6,$L$6,0))))*IF(C2011="8_1",9,25))</f>
        <v>4.2304574792922013E-7</v>
      </c>
    </row>
    <row r="2012" spans="1:6" ht="12.75" x14ac:dyDescent="0.2">
      <c r="A2012" s="1">
        <v>83</v>
      </c>
      <c r="B2012" s="1">
        <v>4</v>
      </c>
      <c r="C2012" s="1" t="s">
        <v>5</v>
      </c>
      <c r="D2012" s="1" t="s">
        <v>6</v>
      </c>
      <c r="E2012" s="1">
        <v>6.9052929878234801</v>
      </c>
      <c r="F2012" s="1">
        <f>Tabla1[[#This Row],[tiempo]]/(IF(Tabla1[[#This Row],[tamanho]]=$I$3,$L$3,IF(Tabla1[[#This Row],[tamanho]]=$I$4,$L$4,IF(Tabla1[[#This Row],[tamanho]]=$I$5,$L$5,IF(Tabla1[[#This Row],[tamanho]]=$I$6,$L$6,0))))*IF(C2012="8_1",9,25))</f>
        <v>1.0427448330936828E-6</v>
      </c>
    </row>
    <row r="2013" spans="1:6" ht="12.75" x14ac:dyDescent="0.2">
      <c r="A2013" s="1">
        <v>83</v>
      </c>
      <c r="B2013" s="1">
        <v>4</v>
      </c>
      <c r="C2013" s="1" t="s">
        <v>7</v>
      </c>
      <c r="D2013" s="1" t="s">
        <v>6</v>
      </c>
      <c r="E2013" s="1">
        <v>7.7067980766296298</v>
      </c>
      <c r="F2013" s="1">
        <f>Tabla1[[#This Row],[tiempo]]/(IF(Tabla1[[#This Row],[tamanho]]=$I$3,$L$3,IF(Tabla1[[#This Row],[tamanho]]=$I$4,$L$4,IF(Tabla1[[#This Row],[tamanho]]=$I$5,$L$5,IF(Tabla1[[#This Row],[tamanho]]=$I$6,$L$6,0))))*IF(C2013="8_1",9,25))</f>
        <v>4.1895986162761665E-7</v>
      </c>
    </row>
    <row r="2014" spans="1:6" ht="12.75" x14ac:dyDescent="0.2">
      <c r="A2014" s="1">
        <v>83</v>
      </c>
      <c r="B2014" s="1">
        <v>4</v>
      </c>
      <c r="C2014" s="1" t="s">
        <v>8</v>
      </c>
      <c r="D2014" s="1" t="s">
        <v>6</v>
      </c>
      <c r="E2014" s="1">
        <v>7.71498227119445</v>
      </c>
      <c r="F2014" s="1">
        <f>Tabla1[[#This Row],[tiempo]]/(IF(Tabla1[[#This Row],[tamanho]]=$I$3,$L$3,IF(Tabla1[[#This Row],[tamanho]]=$I$4,$L$4,IF(Tabla1[[#This Row],[tamanho]]=$I$5,$L$5,IF(Tabla1[[#This Row],[tamanho]]=$I$6,$L$6,0))))*IF(C2014="8_1",9,25))</f>
        <v>4.1940477389705941E-7</v>
      </c>
    </row>
    <row r="2015" spans="1:6" ht="12.75" x14ac:dyDescent="0.2">
      <c r="A2015" s="1">
        <v>83</v>
      </c>
      <c r="B2015" s="1">
        <v>4</v>
      </c>
      <c r="C2015" s="1" t="s">
        <v>5</v>
      </c>
      <c r="D2015" s="1" t="s">
        <v>9</v>
      </c>
      <c r="E2015" s="1">
        <v>6.8995590209960902</v>
      </c>
      <c r="F2015" s="1">
        <f>Tabla1[[#This Row],[tiempo]]/(IF(Tabla1[[#This Row],[tamanho]]=$I$3,$L$3,IF(Tabla1[[#This Row],[tamanho]]=$I$4,$L$4,IF(Tabla1[[#This Row],[tamanho]]=$I$5,$L$5,IF(Tabla1[[#This Row],[tamanho]]=$I$6,$L$6,0))))*IF(C2015="8_1",9,25))</f>
        <v>1.0418789662444508E-6</v>
      </c>
    </row>
    <row r="2016" spans="1:6" ht="12.75" x14ac:dyDescent="0.2">
      <c r="A2016" s="1">
        <v>83</v>
      </c>
      <c r="B2016" s="1">
        <v>4</v>
      </c>
      <c r="C2016" s="1" t="s">
        <v>7</v>
      </c>
      <c r="D2016" s="1" t="s">
        <v>9</v>
      </c>
      <c r="E2016" s="1">
        <v>7.7034354209899902</v>
      </c>
      <c r="F2016" s="1">
        <f>Tabla1[[#This Row],[tiempo]]/(IF(Tabla1[[#This Row],[tamanho]]=$I$3,$L$3,IF(Tabla1[[#This Row],[tamanho]]=$I$4,$L$4,IF(Tabla1[[#This Row],[tamanho]]=$I$5,$L$5,IF(Tabla1[[#This Row],[tamanho]]=$I$6,$L$6,0))))*IF(C2016="8_1",9,25))</f>
        <v>4.1877705967439601E-7</v>
      </c>
    </row>
    <row r="2017" spans="1:6" ht="12.75" x14ac:dyDescent="0.2">
      <c r="A2017" s="1">
        <v>83</v>
      </c>
      <c r="B2017" s="1">
        <v>4</v>
      </c>
      <c r="C2017" s="1" t="s">
        <v>8</v>
      </c>
      <c r="D2017" s="1" t="s">
        <v>9</v>
      </c>
      <c r="E2017" s="1">
        <v>7.7877607345581001</v>
      </c>
      <c r="F2017" s="1">
        <f>Tabla1[[#This Row],[tiempo]]/(IF(Tabla1[[#This Row],[tamanho]]=$I$3,$L$3,IF(Tabla1[[#This Row],[tamanho]]=$I$4,$L$4,IF(Tabla1[[#This Row],[tamanho]]=$I$5,$L$5,IF(Tabla1[[#This Row],[tamanho]]=$I$6,$L$6,0))))*IF(C2017="8_1",9,25))</f>
        <v>4.2336118415163299E-7</v>
      </c>
    </row>
    <row r="2018" spans="1:6" ht="12.75" x14ac:dyDescent="0.2">
      <c r="A2018" s="1">
        <v>84</v>
      </c>
      <c r="B2018" s="1">
        <v>1</v>
      </c>
      <c r="C2018" s="1" t="s">
        <v>5</v>
      </c>
      <c r="D2018" s="1" t="s">
        <v>6</v>
      </c>
      <c r="E2018" s="1">
        <v>0.41056466102600098</v>
      </c>
      <c r="F2018" s="1">
        <f>Tabla1[[#This Row],[tiempo]]/(IF(Tabla1[[#This Row],[tamanho]]=$I$3,$L$3,IF(Tabla1[[#This Row],[tamanho]]=$I$4,$L$4,IF(Tabla1[[#This Row],[tamanho]]=$I$5,$L$5,IF(Tabla1[[#This Row],[tamanho]]=$I$6,$L$6,0))))*IF(C2018="8_1",9,25))</f>
        <v>1.6920105214775292E-6</v>
      </c>
    </row>
    <row r="2019" spans="1:6" ht="12.75" x14ac:dyDescent="0.2">
      <c r="A2019" s="1">
        <v>84</v>
      </c>
      <c r="B2019" s="1">
        <v>1</v>
      </c>
      <c r="C2019" s="1" t="s">
        <v>7</v>
      </c>
      <c r="D2019" s="1" t="s">
        <v>6</v>
      </c>
      <c r="E2019" s="1">
        <v>0.45905399322509699</v>
      </c>
      <c r="F2019" s="1">
        <f>Tabla1[[#This Row],[tiempo]]/(IF(Tabla1[[#This Row],[tamanho]]=$I$3,$L$3,IF(Tabla1[[#This Row],[tamanho]]=$I$4,$L$4,IF(Tabla1[[#This Row],[tamanho]]=$I$5,$L$5,IF(Tabla1[[#This Row],[tamanho]]=$I$6,$L$6,0))))*IF(C2019="8_1",9,25))</f>
        <v>6.8106374871124512E-7</v>
      </c>
    </row>
    <row r="2020" spans="1:6" ht="12.75" x14ac:dyDescent="0.2">
      <c r="A2020" s="1">
        <v>84</v>
      </c>
      <c r="B2020" s="1">
        <v>1</v>
      </c>
      <c r="C2020" s="1" t="s">
        <v>8</v>
      </c>
      <c r="D2020" s="1" t="s">
        <v>6</v>
      </c>
      <c r="E2020" s="1">
        <v>0.46345257759094199</v>
      </c>
      <c r="F2020" s="1">
        <f>Tabla1[[#This Row],[tiempo]]/(IF(Tabla1[[#This Row],[tamanho]]=$I$3,$L$3,IF(Tabla1[[#This Row],[tamanho]]=$I$4,$L$4,IF(Tabla1[[#This Row],[tamanho]]=$I$5,$L$5,IF(Tabla1[[#This Row],[tamanho]]=$I$6,$L$6,0))))*IF(C2020="8_1",9,25))</f>
        <v>6.8758959621815508E-7</v>
      </c>
    </row>
    <row r="2021" spans="1:6" ht="12.75" x14ac:dyDescent="0.2">
      <c r="A2021" s="1">
        <v>84</v>
      </c>
      <c r="B2021" s="1">
        <v>1</v>
      </c>
      <c r="C2021" s="1" t="s">
        <v>5</v>
      </c>
      <c r="D2021" s="1" t="s">
        <v>9</v>
      </c>
      <c r="E2021" s="1">
        <v>0.410174369812011</v>
      </c>
      <c r="F2021" s="1">
        <f>Tabla1[[#This Row],[tiempo]]/(IF(Tabla1[[#This Row],[tamanho]]=$I$3,$L$3,IF(Tabla1[[#This Row],[tamanho]]=$I$4,$L$4,IF(Tabla1[[#This Row],[tamanho]]=$I$5,$L$5,IF(Tabla1[[#This Row],[tamanho]]=$I$6,$L$6,0))))*IF(C2021="8_1",9,25))</f>
        <v>1.6904020614633113E-6</v>
      </c>
    </row>
    <row r="2022" spans="1:6" ht="12.75" x14ac:dyDescent="0.2">
      <c r="A2022" s="1">
        <v>84</v>
      </c>
      <c r="B2022" s="1">
        <v>1</v>
      </c>
      <c r="C2022" s="1" t="s">
        <v>7</v>
      </c>
      <c r="D2022" s="1" t="s">
        <v>9</v>
      </c>
      <c r="E2022" s="1">
        <v>0.45829319953918402</v>
      </c>
      <c r="F2022" s="1">
        <f>Tabla1[[#This Row],[tiempo]]/(IF(Tabla1[[#This Row],[tamanho]]=$I$3,$L$3,IF(Tabla1[[#This Row],[tamanho]]=$I$4,$L$4,IF(Tabla1[[#This Row],[tamanho]]=$I$5,$L$5,IF(Tabla1[[#This Row],[tamanho]]=$I$6,$L$6,0))))*IF(C2022="8_1",9,25))</f>
        <v>6.7993501656345692E-7</v>
      </c>
    </row>
    <row r="2023" spans="1:6" ht="12.75" x14ac:dyDescent="0.2">
      <c r="A2023" s="1">
        <v>84</v>
      </c>
      <c r="B2023" s="1">
        <v>1</v>
      </c>
      <c r="C2023" s="1" t="s">
        <v>8</v>
      </c>
      <c r="D2023" s="1" t="s">
        <v>9</v>
      </c>
      <c r="E2023" s="1">
        <v>0.46446299552917403</v>
      </c>
      <c r="F2023" s="1">
        <f>Tabla1[[#This Row],[tiempo]]/(IF(Tabla1[[#This Row],[tamanho]]=$I$3,$L$3,IF(Tabla1[[#This Row],[tamanho]]=$I$4,$L$4,IF(Tabla1[[#This Row],[tamanho]]=$I$5,$L$5,IF(Tabla1[[#This Row],[tamanho]]=$I$6,$L$6,0))))*IF(C2023="8_1",9,25))</f>
        <v>6.8908867702114025E-7</v>
      </c>
    </row>
    <row r="2024" spans="1:6" ht="12.75" x14ac:dyDescent="0.2">
      <c r="A2024" s="1">
        <v>84</v>
      </c>
      <c r="B2024" s="1">
        <v>2</v>
      </c>
      <c r="C2024" s="1" t="s">
        <v>5</v>
      </c>
      <c r="D2024" s="1" t="s">
        <v>6</v>
      </c>
      <c r="E2024" s="1">
        <v>1.6902992725372299</v>
      </c>
      <c r="F2024" s="1">
        <f>Tabla1[[#This Row],[tiempo]]/(IF(Tabla1[[#This Row],[tamanho]]=$I$3,$L$3,IF(Tabla1[[#This Row],[tamanho]]=$I$4,$L$4,IF(Tabla1[[#This Row],[tamanho]]=$I$5,$L$5,IF(Tabla1[[#This Row],[tamanho]]=$I$6,$L$6,0))))*IF(C2024="8_1",9,25))</f>
        <v>1.0233706600947812E-6</v>
      </c>
    </row>
    <row r="2025" spans="1:6" ht="12.75" x14ac:dyDescent="0.2">
      <c r="A2025" s="1">
        <v>84</v>
      </c>
      <c r="B2025" s="1">
        <v>2</v>
      </c>
      <c r="C2025" s="1" t="s">
        <v>7</v>
      </c>
      <c r="D2025" s="1" t="s">
        <v>6</v>
      </c>
      <c r="E2025" s="1">
        <v>1.895263671875</v>
      </c>
      <c r="F2025" s="1">
        <f>Tabla1[[#This Row],[tiempo]]/(IF(Tabla1[[#This Row],[tamanho]]=$I$3,$L$3,IF(Tabla1[[#This Row],[tamanho]]=$I$4,$L$4,IF(Tabla1[[#This Row],[tamanho]]=$I$5,$L$5,IF(Tabla1[[#This Row],[tamanho]]=$I$6,$L$6,0))))*IF(C2025="8_1",9,25))</f>
        <v>4.1308696981833242E-7</v>
      </c>
    </row>
    <row r="2026" spans="1:6" ht="12.75" x14ac:dyDescent="0.2">
      <c r="A2026" s="1">
        <v>84</v>
      </c>
      <c r="B2026" s="1">
        <v>2</v>
      </c>
      <c r="C2026" s="1" t="s">
        <v>8</v>
      </c>
      <c r="D2026" s="1" t="s">
        <v>6</v>
      </c>
      <c r="E2026" s="1">
        <v>1.9066565036773599</v>
      </c>
      <c r="F2026" s="1">
        <f>Tabla1[[#This Row],[tiempo]]/(IF(Tabla1[[#This Row],[tamanho]]=$I$3,$L$3,IF(Tabla1[[#This Row],[tamanho]]=$I$4,$L$4,IF(Tabla1[[#This Row],[tamanho]]=$I$5,$L$5,IF(Tabla1[[#This Row],[tamanho]]=$I$6,$L$6,0))))*IF(C2026="8_1",9,25))</f>
        <v>4.1557012318465575E-7</v>
      </c>
    </row>
    <row r="2027" spans="1:6" ht="12.75" x14ac:dyDescent="0.2">
      <c r="A2027" s="1">
        <v>84</v>
      </c>
      <c r="B2027" s="1">
        <v>2</v>
      </c>
      <c r="C2027" s="1" t="s">
        <v>5</v>
      </c>
      <c r="D2027" s="1" t="s">
        <v>9</v>
      </c>
      <c r="E2027" s="1">
        <v>1.69204926490783</v>
      </c>
      <c r="F2027" s="1">
        <f>Tabla1[[#This Row],[tiempo]]/(IF(Tabla1[[#This Row],[tamanho]]=$I$3,$L$3,IF(Tabla1[[#This Row],[tamanho]]=$I$4,$L$4,IF(Tabla1[[#This Row],[tamanho]]=$I$5,$L$5,IF(Tabla1[[#This Row],[tamanho]]=$I$6,$L$6,0))))*IF(C2027="8_1",9,25))</f>
        <v>1.0244301711982639E-6</v>
      </c>
    </row>
    <row r="2028" spans="1:6" ht="12.75" x14ac:dyDescent="0.2">
      <c r="A2028" s="1">
        <v>84</v>
      </c>
      <c r="B2028" s="1">
        <v>2</v>
      </c>
      <c r="C2028" s="1" t="s">
        <v>7</v>
      </c>
      <c r="D2028" s="1" t="s">
        <v>9</v>
      </c>
      <c r="E2028" s="1">
        <v>1.9033052921295099</v>
      </c>
      <c r="F2028" s="1">
        <f>Tabla1[[#This Row],[tiempo]]/(IF(Tabla1[[#This Row],[tamanho]]=$I$3,$L$3,IF(Tabla1[[#This Row],[tamanho]]=$I$4,$L$4,IF(Tabla1[[#This Row],[tamanho]]=$I$5,$L$5,IF(Tabla1[[#This Row],[tamanho]]=$I$6,$L$6,0))))*IF(C2028="8_1",9,25))</f>
        <v>4.1483970142642513E-7</v>
      </c>
    </row>
    <row r="2029" spans="1:6" ht="12.75" x14ac:dyDescent="0.2">
      <c r="A2029" s="1">
        <v>84</v>
      </c>
      <c r="B2029" s="1">
        <v>2</v>
      </c>
      <c r="C2029" s="1" t="s">
        <v>8</v>
      </c>
      <c r="D2029" s="1" t="s">
        <v>9</v>
      </c>
      <c r="E2029" s="1">
        <v>1.93536949157714</v>
      </c>
      <c r="F2029" s="1">
        <f>Tabla1[[#This Row],[tiempo]]/(IF(Tabla1[[#This Row],[tamanho]]=$I$3,$L$3,IF(Tabla1[[#This Row],[tamanho]]=$I$4,$L$4,IF(Tabla1[[#This Row],[tamanho]]=$I$5,$L$5,IF(Tabla1[[#This Row],[tamanho]]=$I$6,$L$6,0))))*IF(C2029="8_1",9,25))</f>
        <v>4.2182833482135986E-7</v>
      </c>
    </row>
    <row r="2030" spans="1:6" ht="12.75" x14ac:dyDescent="0.2">
      <c r="A2030" s="1">
        <v>84</v>
      </c>
      <c r="B2030" s="1">
        <v>3</v>
      </c>
      <c r="C2030" s="1" t="s">
        <v>5</v>
      </c>
      <c r="D2030" s="1" t="s">
        <v>6</v>
      </c>
      <c r="E2030" s="1">
        <v>3.8567423820495601</v>
      </c>
      <c r="F2030" s="1">
        <f>Tabla1[[#This Row],[tiempo]]/(IF(Tabla1[[#This Row],[tamanho]]=$I$3,$L$3,IF(Tabla1[[#This Row],[tamanho]]=$I$4,$L$4,IF(Tabla1[[#This Row],[tamanho]]=$I$5,$L$5,IF(Tabla1[[#This Row],[tamanho]]=$I$6,$L$6,0))))*IF(C2030="8_1",9,25))</f>
        <v>1.0369602430928268E-6</v>
      </c>
    </row>
    <row r="2031" spans="1:6" ht="12.75" x14ac:dyDescent="0.2">
      <c r="A2031" s="1">
        <v>84</v>
      </c>
      <c r="B2031" s="1">
        <v>3</v>
      </c>
      <c r="C2031" s="1" t="s">
        <v>7</v>
      </c>
      <c r="D2031" s="1" t="s">
        <v>6</v>
      </c>
      <c r="E2031" s="1">
        <v>4.3237223625183097</v>
      </c>
      <c r="F2031" s="1">
        <f>Tabla1[[#This Row],[tiempo]]/(IF(Tabla1[[#This Row],[tamanho]]=$I$3,$L$3,IF(Tabla1[[#This Row],[tamanho]]=$I$4,$L$4,IF(Tabla1[[#This Row],[tamanho]]=$I$5,$L$5,IF(Tabla1[[#This Row],[tamanho]]=$I$6,$L$6,0))))*IF(C2031="8_1",9,25))</f>
        <v>4.1850608344218284E-7</v>
      </c>
    </row>
    <row r="2032" spans="1:6" ht="12.75" x14ac:dyDescent="0.2">
      <c r="A2032" s="1">
        <v>84</v>
      </c>
      <c r="B2032" s="1">
        <v>3</v>
      </c>
      <c r="C2032" s="1" t="s">
        <v>8</v>
      </c>
      <c r="D2032" s="1" t="s">
        <v>6</v>
      </c>
      <c r="E2032" s="1">
        <v>4.3442361354827801</v>
      </c>
      <c r="F2032" s="1">
        <f>Tabla1[[#This Row],[tiempo]]/(IF(Tabla1[[#This Row],[tamanho]]=$I$3,$L$3,IF(Tabla1[[#This Row],[tamanho]]=$I$4,$L$4,IF(Tabla1[[#This Row],[tamanho]]=$I$5,$L$5,IF(Tabla1[[#This Row],[tamanho]]=$I$6,$L$6,0))))*IF(C2032="8_1",9,25))</f>
        <v>4.2049167318642868E-7</v>
      </c>
    </row>
    <row r="2033" spans="1:6" ht="12.75" x14ac:dyDescent="0.2">
      <c r="A2033" s="1">
        <v>84</v>
      </c>
      <c r="B2033" s="1">
        <v>3</v>
      </c>
      <c r="C2033" s="1" t="s">
        <v>5</v>
      </c>
      <c r="D2033" s="1" t="s">
        <v>9</v>
      </c>
      <c r="E2033" s="1">
        <v>3.8677582740783598</v>
      </c>
      <c r="F2033" s="1">
        <f>Tabla1[[#This Row],[tiempo]]/(IF(Tabla1[[#This Row],[tamanho]]=$I$3,$L$3,IF(Tabla1[[#This Row],[tamanho]]=$I$4,$L$4,IF(Tabla1[[#This Row],[tamanho]]=$I$5,$L$5,IF(Tabla1[[#This Row],[tamanho]]=$I$6,$L$6,0))))*IF(C2033="8_1",9,25))</f>
        <v>1.0399220800382332E-6</v>
      </c>
    </row>
    <row r="2034" spans="1:6" ht="12.75" x14ac:dyDescent="0.2">
      <c r="A2034" s="1">
        <v>84</v>
      </c>
      <c r="B2034" s="1">
        <v>3</v>
      </c>
      <c r="C2034" s="1" t="s">
        <v>7</v>
      </c>
      <c r="D2034" s="1" t="s">
        <v>9</v>
      </c>
      <c r="E2034" s="1">
        <v>4.3179793357849103</v>
      </c>
      <c r="F2034" s="1">
        <f>Tabla1[[#This Row],[tiempo]]/(IF(Tabla1[[#This Row],[tamanho]]=$I$3,$L$3,IF(Tabla1[[#This Row],[tamanho]]=$I$4,$L$4,IF(Tabla1[[#This Row],[tamanho]]=$I$5,$L$5,IF(Tabla1[[#This Row],[tamanho]]=$I$6,$L$6,0))))*IF(C2034="8_1",9,25))</f>
        <v>4.1795019862262685E-7</v>
      </c>
    </row>
    <row r="2035" spans="1:6" ht="12.75" x14ac:dyDescent="0.2">
      <c r="A2035" s="1">
        <v>84</v>
      </c>
      <c r="B2035" s="1">
        <v>3</v>
      </c>
      <c r="C2035" s="1" t="s">
        <v>8</v>
      </c>
      <c r="D2035" s="1" t="s">
        <v>9</v>
      </c>
      <c r="E2035" s="1">
        <v>4.3381686210632298</v>
      </c>
      <c r="F2035" s="1">
        <f>Tabla1[[#This Row],[tiempo]]/(IF(Tabla1[[#This Row],[tamanho]]=$I$3,$L$3,IF(Tabla1[[#This Row],[tamanho]]=$I$4,$L$4,IF(Tabla1[[#This Row],[tamanho]]=$I$5,$L$5,IF(Tabla1[[#This Row],[tamanho]]=$I$6,$L$6,0))))*IF(C2035="8_1",9,25))</f>
        <v>4.1990438022840535E-7</v>
      </c>
    </row>
    <row r="2036" spans="1:6" ht="12.75" x14ac:dyDescent="0.2">
      <c r="A2036" s="1">
        <v>84</v>
      </c>
      <c r="B2036" s="1">
        <v>4</v>
      </c>
      <c r="C2036" s="1" t="s">
        <v>5</v>
      </c>
      <c r="D2036" s="1" t="s">
        <v>6</v>
      </c>
      <c r="E2036" s="1">
        <v>6.9003660678863499</v>
      </c>
      <c r="F2036" s="1">
        <f>Tabla1[[#This Row],[tiempo]]/(IF(Tabla1[[#This Row],[tamanho]]=$I$3,$L$3,IF(Tabla1[[#This Row],[tamanho]]=$I$4,$L$4,IF(Tabla1[[#This Row],[tamanho]]=$I$5,$L$5,IF(Tabla1[[#This Row],[tamanho]]=$I$6,$L$6,0))))*IF(C2036="8_1",9,25))</f>
        <v>1.0420008356533761E-6</v>
      </c>
    </row>
    <row r="2037" spans="1:6" ht="12.75" x14ac:dyDescent="0.2">
      <c r="A2037" s="1">
        <v>84</v>
      </c>
      <c r="B2037" s="1">
        <v>4</v>
      </c>
      <c r="C2037" s="1" t="s">
        <v>7</v>
      </c>
      <c r="D2037" s="1" t="s">
        <v>6</v>
      </c>
      <c r="E2037" s="1">
        <v>7.7718417644500697</v>
      </c>
      <c r="F2037" s="1">
        <f>Tabla1[[#This Row],[tiempo]]/(IF(Tabla1[[#This Row],[tamanho]]=$I$3,$L$3,IF(Tabla1[[#This Row],[tamanho]]=$I$4,$L$4,IF(Tabla1[[#This Row],[tamanho]]=$I$5,$L$5,IF(Tabla1[[#This Row],[tamanho]]=$I$6,$L$6,0))))*IF(C2037="8_1",9,25))</f>
        <v>4.2249579109897999E-7</v>
      </c>
    </row>
    <row r="2038" spans="1:6" ht="12.75" x14ac:dyDescent="0.2">
      <c r="A2038" s="1">
        <v>84</v>
      </c>
      <c r="B2038" s="1">
        <v>4</v>
      </c>
      <c r="C2038" s="1" t="s">
        <v>8</v>
      </c>
      <c r="D2038" s="1" t="s">
        <v>6</v>
      </c>
      <c r="E2038" s="1">
        <v>7.73531150817871</v>
      </c>
      <c r="F2038" s="1">
        <f>Tabla1[[#This Row],[tiempo]]/(IF(Tabla1[[#This Row],[tamanho]]=$I$3,$L$3,IF(Tabla1[[#This Row],[tamanho]]=$I$4,$L$4,IF(Tabla1[[#This Row],[tamanho]]=$I$5,$L$5,IF(Tabla1[[#This Row],[tamanho]]=$I$6,$L$6,0))))*IF(C2038="8_1",9,25))</f>
        <v>4.2050991953980671E-7</v>
      </c>
    </row>
    <row r="2039" spans="1:6" ht="12.75" x14ac:dyDescent="0.2">
      <c r="A2039" s="1">
        <v>84</v>
      </c>
      <c r="B2039" s="1">
        <v>4</v>
      </c>
      <c r="C2039" s="1" t="s">
        <v>5</v>
      </c>
      <c r="D2039" s="1" t="s">
        <v>9</v>
      </c>
      <c r="E2039" s="1">
        <v>6.8622415065765301</v>
      </c>
      <c r="F2039" s="1">
        <f>Tabla1[[#This Row],[tiempo]]/(IF(Tabla1[[#This Row],[tamanho]]=$I$3,$L$3,IF(Tabla1[[#This Row],[tamanho]]=$I$4,$L$4,IF(Tabla1[[#This Row],[tamanho]]=$I$5,$L$5,IF(Tabla1[[#This Row],[tamanho]]=$I$6,$L$6,0))))*IF(C2039="8_1",9,25))</f>
        <v>1.0362437751796383E-6</v>
      </c>
    </row>
    <row r="2040" spans="1:6" ht="12.75" x14ac:dyDescent="0.2">
      <c r="A2040" s="1">
        <v>84</v>
      </c>
      <c r="B2040" s="1">
        <v>4</v>
      </c>
      <c r="C2040" s="1" t="s">
        <v>7</v>
      </c>
      <c r="D2040" s="1" t="s">
        <v>9</v>
      </c>
      <c r="E2040" s="1">
        <v>7.70739698410034</v>
      </c>
      <c r="F2040" s="1">
        <f>Tabla1[[#This Row],[tiempo]]/(IF(Tabla1[[#This Row],[tamanho]]=$I$3,$L$3,IF(Tabla1[[#This Row],[tamanho]]=$I$4,$L$4,IF(Tabla1[[#This Row],[tamanho]]=$I$5,$L$5,IF(Tabla1[[#This Row],[tamanho]]=$I$6,$L$6,0))))*IF(C2040="8_1",9,25))</f>
        <v>4.1899241966125931E-7</v>
      </c>
    </row>
    <row r="2041" spans="1:6" ht="12.75" x14ac:dyDescent="0.2">
      <c r="A2041" s="1">
        <v>84</v>
      </c>
      <c r="B2041" s="1">
        <v>4</v>
      </c>
      <c r="C2041" s="1" t="s">
        <v>8</v>
      </c>
      <c r="D2041" s="1" t="s">
        <v>9</v>
      </c>
      <c r="E2041" s="1">
        <v>7.7874021530151296</v>
      </c>
      <c r="F2041" s="1">
        <f>Tabla1[[#This Row],[tiempo]]/(IF(Tabla1[[#This Row],[tamanho]]=$I$3,$L$3,IF(Tabla1[[#This Row],[tamanho]]=$I$4,$L$4,IF(Tabla1[[#This Row],[tamanho]]=$I$5,$L$5,IF(Tabla1[[#This Row],[tamanho]]=$I$6,$L$6,0))))*IF(C2041="8_1",9,25))</f>
        <v>4.2334169080664956E-7</v>
      </c>
    </row>
    <row r="2042" spans="1:6" ht="12.75" x14ac:dyDescent="0.2">
      <c r="A2042" s="1">
        <v>85</v>
      </c>
      <c r="B2042" s="1">
        <v>1</v>
      </c>
      <c r="C2042" s="1" t="s">
        <v>5</v>
      </c>
      <c r="D2042" s="1" t="s">
        <v>6</v>
      </c>
      <c r="E2042" s="1">
        <v>0.40631604194641102</v>
      </c>
      <c r="F2042" s="1">
        <f>Tabla1[[#This Row],[tiempo]]/(IF(Tabla1[[#This Row],[tamanho]]=$I$3,$L$3,IF(Tabla1[[#This Row],[tamanho]]=$I$4,$L$4,IF(Tabla1[[#This Row],[tamanho]]=$I$5,$L$5,IF(Tabla1[[#This Row],[tamanho]]=$I$6,$L$6,0))))*IF(C2042="8_1",9,25))</f>
        <v>1.674501201102873E-6</v>
      </c>
    </row>
    <row r="2043" spans="1:6" ht="12.75" x14ac:dyDescent="0.2">
      <c r="A2043" s="1">
        <v>85</v>
      </c>
      <c r="B2043" s="1">
        <v>1</v>
      </c>
      <c r="C2043" s="1" t="s">
        <v>7</v>
      </c>
      <c r="D2043" s="1" t="s">
        <v>6</v>
      </c>
      <c r="E2043" s="1">
        <v>0.46316432952880798</v>
      </c>
      <c r="F2043" s="1">
        <f>Tabla1[[#This Row],[tiempo]]/(IF(Tabla1[[#This Row],[tamanho]]=$I$3,$L$3,IF(Tabla1[[#This Row],[tamanho]]=$I$4,$L$4,IF(Tabla1[[#This Row],[tamanho]]=$I$5,$L$5,IF(Tabla1[[#This Row],[tamanho]]=$I$6,$L$6,0))))*IF(C2043="8_1",9,25))</f>
        <v>6.871619443326404E-7</v>
      </c>
    </row>
    <row r="2044" spans="1:6" ht="12.75" x14ac:dyDescent="0.2">
      <c r="A2044" s="1">
        <v>85</v>
      </c>
      <c r="B2044" s="1">
        <v>1</v>
      </c>
      <c r="C2044" s="1" t="s">
        <v>8</v>
      </c>
      <c r="D2044" s="1" t="s">
        <v>6</v>
      </c>
      <c r="E2044" s="1">
        <v>0.46290421485900801</v>
      </c>
      <c r="F2044" s="1">
        <f>Tabla1[[#This Row],[tiempo]]/(IF(Tabla1[[#This Row],[tamanho]]=$I$3,$L$3,IF(Tabla1[[#This Row],[tamanho]]=$I$4,$L$4,IF(Tabla1[[#This Row],[tamanho]]=$I$5,$L$5,IF(Tabla1[[#This Row],[tamanho]]=$I$6,$L$6,0))))*IF(C2044="8_1",9,25))</f>
        <v>6.8677603183710987E-7</v>
      </c>
    </row>
    <row r="2045" spans="1:6" ht="12.75" x14ac:dyDescent="0.2">
      <c r="A2045" s="1">
        <v>85</v>
      </c>
      <c r="B2045" s="1">
        <v>1</v>
      </c>
      <c r="C2045" s="1" t="s">
        <v>5</v>
      </c>
      <c r="D2045" s="1" t="s">
        <v>9</v>
      </c>
      <c r="E2045" s="1">
        <v>0.408304452896118</v>
      </c>
      <c r="F2045" s="1">
        <f>Tabla1[[#This Row],[tiempo]]/(IF(Tabla1[[#This Row],[tamanho]]=$I$3,$L$3,IF(Tabla1[[#This Row],[tamanho]]=$I$4,$L$4,IF(Tabla1[[#This Row],[tamanho]]=$I$5,$L$5,IF(Tabla1[[#This Row],[tamanho]]=$I$6,$L$6,0))))*IF(C2045="8_1",9,25))</f>
        <v>1.6826957988539742E-6</v>
      </c>
    </row>
    <row r="2046" spans="1:6" ht="12.75" x14ac:dyDescent="0.2">
      <c r="A2046" s="1">
        <v>85</v>
      </c>
      <c r="B2046" s="1">
        <v>1</v>
      </c>
      <c r="C2046" s="1" t="s">
        <v>7</v>
      </c>
      <c r="D2046" s="1" t="s">
        <v>9</v>
      </c>
      <c r="E2046" s="1">
        <v>0.46024608612060502</v>
      </c>
      <c r="F2046" s="1">
        <f>Tabla1[[#This Row],[tiempo]]/(IF(Tabla1[[#This Row],[tamanho]]=$I$3,$L$3,IF(Tabla1[[#This Row],[tamanho]]=$I$4,$L$4,IF(Tabla1[[#This Row],[tamanho]]=$I$5,$L$5,IF(Tabla1[[#This Row],[tamanho]]=$I$6,$L$6,0))))*IF(C2046="8_1",9,25))</f>
        <v>6.8283236693090767E-7</v>
      </c>
    </row>
    <row r="2047" spans="1:6" ht="12.75" x14ac:dyDescent="0.2">
      <c r="A2047" s="1">
        <v>85</v>
      </c>
      <c r="B2047" s="1">
        <v>1</v>
      </c>
      <c r="C2047" s="1" t="s">
        <v>8</v>
      </c>
      <c r="D2047" s="1" t="s">
        <v>9</v>
      </c>
      <c r="E2047" s="1">
        <v>0.462020874023437</v>
      </c>
      <c r="F2047" s="1">
        <f>Tabla1[[#This Row],[tiempo]]/(IF(Tabla1[[#This Row],[tamanho]]=$I$3,$L$3,IF(Tabla1[[#This Row],[tamanho]]=$I$4,$L$4,IF(Tabla1[[#This Row],[tamanho]]=$I$5,$L$5,IF(Tabla1[[#This Row],[tamanho]]=$I$6,$L$6,0))))*IF(C2047="8_1",9,25))</f>
        <v>6.8546548573634066E-7</v>
      </c>
    </row>
    <row r="2048" spans="1:6" ht="12.75" x14ac:dyDescent="0.2">
      <c r="A2048" s="1">
        <v>85</v>
      </c>
      <c r="B2048" s="1">
        <v>2</v>
      </c>
      <c r="C2048" s="1" t="s">
        <v>5</v>
      </c>
      <c r="D2048" s="1" t="s">
        <v>6</v>
      </c>
      <c r="E2048" s="1">
        <v>1.6847684383392301</v>
      </c>
      <c r="F2048" s="1">
        <f>Tabla1[[#This Row],[tiempo]]/(IF(Tabla1[[#This Row],[tamanho]]=$I$3,$L$3,IF(Tabla1[[#This Row],[tamanho]]=$I$4,$L$4,IF(Tabla1[[#This Row],[tamanho]]=$I$5,$L$5,IF(Tabla1[[#This Row],[tamanho]]=$I$6,$L$6,0))))*IF(C2048="8_1",9,25))</f>
        <v>1.0200220853565422E-6</v>
      </c>
    </row>
    <row r="2049" spans="1:6" ht="12.75" x14ac:dyDescent="0.2">
      <c r="A2049" s="1">
        <v>85</v>
      </c>
      <c r="B2049" s="1">
        <v>2</v>
      </c>
      <c r="C2049" s="1" t="s">
        <v>7</v>
      </c>
      <c r="D2049" s="1" t="s">
        <v>6</v>
      </c>
      <c r="E2049" s="1">
        <v>1.89044308662414</v>
      </c>
      <c r="F2049" s="1">
        <f>Tabla1[[#This Row],[tiempo]]/(IF(Tabla1[[#This Row],[tamanho]]=$I$3,$L$3,IF(Tabla1[[#This Row],[tamanho]]=$I$4,$L$4,IF(Tabla1[[#This Row],[tamanho]]=$I$5,$L$5,IF(Tabla1[[#This Row],[tamanho]]=$I$6,$L$6,0))))*IF(C2049="8_1",9,25))</f>
        <v>4.1203628701172395E-7</v>
      </c>
    </row>
    <row r="2050" spans="1:6" ht="12.75" x14ac:dyDescent="0.2">
      <c r="A2050" s="1">
        <v>85</v>
      </c>
      <c r="B2050" s="1">
        <v>2</v>
      </c>
      <c r="C2050" s="1" t="s">
        <v>8</v>
      </c>
      <c r="D2050" s="1" t="s">
        <v>6</v>
      </c>
      <c r="E2050" s="1">
        <v>1.9051158428192101</v>
      </c>
      <c r="F2050" s="1">
        <f>Tabla1[[#This Row],[tiempo]]/(IF(Tabla1[[#This Row],[tamanho]]=$I$3,$L$3,IF(Tabla1[[#This Row],[tamanho]]=$I$4,$L$4,IF(Tabla1[[#This Row],[tamanho]]=$I$5,$L$5,IF(Tabla1[[#This Row],[tamanho]]=$I$6,$L$6,0))))*IF(C2050="8_1",9,25))</f>
        <v>4.1523432456473011E-7</v>
      </c>
    </row>
    <row r="2051" spans="1:6" ht="12.75" x14ac:dyDescent="0.2">
      <c r="A2051" s="1">
        <v>85</v>
      </c>
      <c r="B2051" s="1">
        <v>2</v>
      </c>
      <c r="C2051" s="1" t="s">
        <v>5</v>
      </c>
      <c r="D2051" s="1" t="s">
        <v>9</v>
      </c>
      <c r="E2051" s="1">
        <v>1.70222663879394</v>
      </c>
      <c r="F2051" s="1">
        <f>Tabla1[[#This Row],[tiempo]]/(IF(Tabla1[[#This Row],[tamanho]]=$I$3,$L$3,IF(Tabla1[[#This Row],[tamanho]]=$I$4,$L$4,IF(Tabla1[[#This Row],[tamanho]]=$I$5,$L$5,IF(Tabla1[[#This Row],[tamanho]]=$I$6,$L$6,0))))*IF(C2051="8_1",9,25))</f>
        <v>1.0305919355680881E-6</v>
      </c>
    </row>
    <row r="2052" spans="1:6" ht="12.75" x14ac:dyDescent="0.2">
      <c r="A2052" s="1">
        <v>85</v>
      </c>
      <c r="B2052" s="1">
        <v>2</v>
      </c>
      <c r="C2052" s="1" t="s">
        <v>7</v>
      </c>
      <c r="D2052" s="1" t="s">
        <v>9</v>
      </c>
      <c r="E2052" s="1">
        <v>1.9050869941711399</v>
      </c>
      <c r="F2052" s="1">
        <f>Tabla1[[#This Row],[tiempo]]/(IF(Tabla1[[#This Row],[tamanho]]=$I$3,$L$3,IF(Tabla1[[#This Row],[tamanho]]=$I$4,$L$4,IF(Tabla1[[#This Row],[tamanho]]=$I$5,$L$5,IF(Tabla1[[#This Row],[tamanho]]=$I$6,$L$6,0))))*IF(C2052="8_1",9,25))</f>
        <v>4.152280367849391E-7</v>
      </c>
    </row>
    <row r="2053" spans="1:6" ht="12.75" x14ac:dyDescent="0.2">
      <c r="A2053" s="1">
        <v>85</v>
      </c>
      <c r="B2053" s="1">
        <v>2</v>
      </c>
      <c r="C2053" s="1" t="s">
        <v>8</v>
      </c>
      <c r="D2053" s="1" t="s">
        <v>9</v>
      </c>
      <c r="E2053" s="1">
        <v>1.9216120243072501</v>
      </c>
      <c r="F2053" s="1">
        <f>Tabla1[[#This Row],[tiempo]]/(IF(Tabla1[[#This Row],[tamanho]]=$I$3,$L$3,IF(Tabla1[[#This Row],[tamanho]]=$I$4,$L$4,IF(Tabla1[[#This Row],[tamanho]]=$I$5,$L$5,IF(Tabla1[[#This Row],[tamanho]]=$I$6,$L$6,0))))*IF(C2053="8_1",9,25))</f>
        <v>4.1882979137264202E-7</v>
      </c>
    </row>
    <row r="2054" spans="1:6" ht="12.75" x14ac:dyDescent="0.2">
      <c r="A2054" s="1">
        <v>85</v>
      </c>
      <c r="B2054" s="1">
        <v>3</v>
      </c>
      <c r="C2054" s="1" t="s">
        <v>5</v>
      </c>
      <c r="D2054" s="1" t="s">
        <v>6</v>
      </c>
      <c r="E2054" s="1">
        <v>3.8319327831268302</v>
      </c>
      <c r="F2054" s="1">
        <f>Tabla1[[#This Row],[tiempo]]/(IF(Tabla1[[#This Row],[tamanho]]=$I$3,$L$3,IF(Tabla1[[#This Row],[tamanho]]=$I$4,$L$4,IF(Tabla1[[#This Row],[tamanho]]=$I$5,$L$5,IF(Tabla1[[#This Row],[tamanho]]=$I$6,$L$6,0))))*IF(C2054="8_1",9,25))</f>
        <v>1.0302896996181866E-6</v>
      </c>
    </row>
    <row r="2055" spans="1:6" ht="12.75" x14ac:dyDescent="0.2">
      <c r="A2055" s="1">
        <v>85</v>
      </c>
      <c r="B2055" s="1">
        <v>3</v>
      </c>
      <c r="C2055" s="1" t="s">
        <v>7</v>
      </c>
      <c r="D2055" s="1" t="s">
        <v>6</v>
      </c>
      <c r="E2055" s="1">
        <v>4.3119118213653502</v>
      </c>
      <c r="F2055" s="1">
        <f>Tabla1[[#This Row],[tiempo]]/(IF(Tabla1[[#This Row],[tamanho]]=$I$3,$L$3,IF(Tabla1[[#This Row],[tamanho]]=$I$4,$L$4,IF(Tabla1[[#This Row],[tamanho]]=$I$5,$L$5,IF(Tabla1[[#This Row],[tamanho]]=$I$6,$L$6,0))))*IF(C2055="8_1",9,25))</f>
        <v>4.1736290566460257E-7</v>
      </c>
    </row>
    <row r="2056" spans="1:6" ht="12.75" x14ac:dyDescent="0.2">
      <c r="A2056" s="1">
        <v>85</v>
      </c>
      <c r="B2056" s="1">
        <v>3</v>
      </c>
      <c r="C2056" s="1" t="s">
        <v>8</v>
      </c>
      <c r="D2056" s="1" t="s">
        <v>6</v>
      </c>
      <c r="E2056" s="1">
        <v>4.3257193565368599</v>
      </c>
      <c r="F2056" s="1">
        <f>Tabla1[[#This Row],[tiempo]]/(IF(Tabla1[[#This Row],[tamanho]]=$I$3,$L$3,IF(Tabla1[[#This Row],[tamanho]]=$I$4,$L$4,IF(Tabla1[[#This Row],[tamanho]]=$I$5,$L$5,IF(Tabla1[[#This Row],[tamanho]]=$I$6,$L$6,0))))*IF(C2056="8_1",9,25))</f>
        <v>4.1869937849567794E-7</v>
      </c>
    </row>
    <row r="2057" spans="1:6" ht="12.75" x14ac:dyDescent="0.2">
      <c r="A2057" s="1">
        <v>85</v>
      </c>
      <c r="B2057" s="1">
        <v>3</v>
      </c>
      <c r="C2057" s="1" t="s">
        <v>5</v>
      </c>
      <c r="D2057" s="1" t="s">
        <v>9</v>
      </c>
      <c r="E2057" s="1">
        <v>3.8663272857665998</v>
      </c>
      <c r="F2057" s="1">
        <f>Tabla1[[#This Row],[tiempo]]/(IF(Tabla1[[#This Row],[tamanho]]=$I$3,$L$3,IF(Tabla1[[#This Row],[tamanho]]=$I$4,$L$4,IF(Tabla1[[#This Row],[tamanho]]=$I$5,$L$5,IF(Tabla1[[#This Row],[tamanho]]=$I$6,$L$6,0))))*IF(C2057="8_1",9,25))</f>
        <v>1.0395373309830377E-6</v>
      </c>
    </row>
    <row r="2058" spans="1:6" ht="12.75" x14ac:dyDescent="0.2">
      <c r="A2058" s="1">
        <v>85</v>
      </c>
      <c r="B2058" s="1">
        <v>3</v>
      </c>
      <c r="C2058" s="1" t="s">
        <v>7</v>
      </c>
      <c r="D2058" s="1" t="s">
        <v>9</v>
      </c>
      <c r="E2058" s="1">
        <v>4.3342413902282697</v>
      </c>
      <c r="F2058" s="1">
        <f>Tabla1[[#This Row],[tiempo]]/(IF(Tabla1[[#This Row],[tamanho]]=$I$3,$L$3,IF(Tabla1[[#This Row],[tamanho]]=$I$4,$L$4,IF(Tabla1[[#This Row],[tamanho]]=$I$5,$L$5,IF(Tabla1[[#This Row],[tamanho]]=$I$6,$L$6,0))))*IF(C2058="8_1",9,25))</f>
        <v>4.1952425175166493E-7</v>
      </c>
    </row>
    <row r="2059" spans="1:6" ht="12.75" x14ac:dyDescent="0.2">
      <c r="A2059" s="1">
        <v>85</v>
      </c>
      <c r="B2059" s="1">
        <v>3</v>
      </c>
      <c r="C2059" s="1" t="s">
        <v>8</v>
      </c>
      <c r="D2059" s="1" t="s">
        <v>9</v>
      </c>
      <c r="E2059" s="1">
        <v>4.3660995960235596</v>
      </c>
      <c r="F2059" s="1">
        <f>Tabla1[[#This Row],[tiempo]]/(IF(Tabla1[[#This Row],[tamanho]]=$I$3,$L$3,IF(Tabla1[[#This Row],[tamanho]]=$I$4,$L$4,IF(Tabla1[[#This Row],[tamanho]]=$I$5,$L$5,IF(Tabla1[[#This Row],[tamanho]]=$I$6,$L$6,0))))*IF(C2059="8_1",9,25))</f>
        <v>4.2260790324799188E-7</v>
      </c>
    </row>
    <row r="2060" spans="1:6" ht="12.75" x14ac:dyDescent="0.2">
      <c r="A2060" s="1">
        <v>85</v>
      </c>
      <c r="B2060" s="1">
        <v>4</v>
      </c>
      <c r="C2060" s="1" t="s">
        <v>5</v>
      </c>
      <c r="D2060" s="1" t="s">
        <v>6</v>
      </c>
      <c r="E2060" s="1">
        <v>6.9044773578643799</v>
      </c>
      <c r="F2060" s="1">
        <f>Tabla1[[#This Row],[tiempo]]/(IF(Tabla1[[#This Row],[tamanho]]=$I$3,$L$3,IF(Tabla1[[#This Row],[tamanho]]=$I$4,$L$4,IF(Tabla1[[#This Row],[tamanho]]=$I$5,$L$5,IF(Tabla1[[#This Row],[tamanho]]=$I$6,$L$6,0))))*IF(C2060="8_1",9,25))</f>
        <v>1.0426216675846932E-6</v>
      </c>
    </row>
    <row r="2061" spans="1:6" ht="12.75" x14ac:dyDescent="0.2">
      <c r="A2061" s="1">
        <v>85</v>
      </c>
      <c r="B2061" s="1">
        <v>4</v>
      </c>
      <c r="C2061" s="1" t="s">
        <v>7</v>
      </c>
      <c r="D2061" s="1" t="s">
        <v>6</v>
      </c>
      <c r="E2061" s="1">
        <v>7.7785248756408603</v>
      </c>
      <c r="F2061" s="1">
        <f>Tabla1[[#This Row],[tiempo]]/(IF(Tabla1[[#This Row],[tamanho]]=$I$3,$L$3,IF(Tabla1[[#This Row],[tamanho]]=$I$4,$L$4,IF(Tabla1[[#This Row],[tamanho]]=$I$5,$L$5,IF(Tabla1[[#This Row],[tamanho]]=$I$6,$L$6,0))))*IF(C2061="8_1",9,25))</f>
        <v>4.2285910090830618E-7</v>
      </c>
    </row>
    <row r="2062" spans="1:6" ht="12.75" x14ac:dyDescent="0.2">
      <c r="A2062" s="1">
        <v>85</v>
      </c>
      <c r="B2062" s="1">
        <v>4</v>
      </c>
      <c r="C2062" s="1" t="s">
        <v>8</v>
      </c>
      <c r="D2062" s="1" t="s">
        <v>6</v>
      </c>
      <c r="E2062" s="1">
        <v>7.7935030460357604</v>
      </c>
      <c r="F2062" s="1">
        <f>Tabla1[[#This Row],[tiempo]]/(IF(Tabla1[[#This Row],[tamanho]]=$I$3,$L$3,IF(Tabla1[[#This Row],[tamanho]]=$I$4,$L$4,IF(Tabla1[[#This Row],[tamanho]]=$I$5,$L$5,IF(Tabla1[[#This Row],[tamanho]]=$I$6,$L$6,0))))*IF(C2062="8_1",9,25))</f>
        <v>4.2367334985237953E-7</v>
      </c>
    </row>
    <row r="2063" spans="1:6" ht="12.75" x14ac:dyDescent="0.2">
      <c r="A2063" s="1">
        <v>85</v>
      </c>
      <c r="B2063" s="1">
        <v>4</v>
      </c>
      <c r="C2063" s="1" t="s">
        <v>5</v>
      </c>
      <c r="D2063" s="1" t="s">
        <v>9</v>
      </c>
      <c r="E2063" s="1">
        <v>6.9016351699829102</v>
      </c>
      <c r="F2063" s="1">
        <f>Tabla1[[#This Row],[tiempo]]/(IF(Tabla1[[#This Row],[tamanho]]=$I$3,$L$3,IF(Tabla1[[#This Row],[tamanho]]=$I$4,$L$4,IF(Tabla1[[#This Row],[tamanho]]=$I$5,$L$5,IF(Tabla1[[#This Row],[tamanho]]=$I$6,$L$6,0))))*IF(C2063="8_1",9,25))</f>
        <v>1.0421924784491547E-6</v>
      </c>
    </row>
    <row r="2064" spans="1:6" ht="12.75" x14ac:dyDescent="0.2">
      <c r="A2064" s="1">
        <v>85</v>
      </c>
      <c r="B2064" s="1">
        <v>4</v>
      </c>
      <c r="C2064" s="1" t="s">
        <v>7</v>
      </c>
      <c r="D2064" s="1" t="s">
        <v>9</v>
      </c>
      <c r="E2064" s="1">
        <v>7.7627665996551496</v>
      </c>
      <c r="F2064" s="1">
        <f>Tabla1[[#This Row],[tiempo]]/(IF(Tabla1[[#This Row],[tamanho]]=$I$3,$L$3,IF(Tabla1[[#This Row],[tamanho]]=$I$4,$L$4,IF(Tabla1[[#This Row],[tamanho]]=$I$5,$L$5,IF(Tabla1[[#This Row],[tamanho]]=$I$6,$L$6,0))))*IF(C2064="8_1",9,25))</f>
        <v>4.2200244357009416E-7</v>
      </c>
    </row>
    <row r="2065" spans="1:6" ht="12.75" x14ac:dyDescent="0.2">
      <c r="A2065" s="1">
        <v>85</v>
      </c>
      <c r="B2065" s="1">
        <v>4</v>
      </c>
      <c r="C2065" s="1" t="s">
        <v>8</v>
      </c>
      <c r="D2065" s="1" t="s">
        <v>9</v>
      </c>
      <c r="E2065" s="1">
        <v>7.8328194618225098</v>
      </c>
      <c r="F2065" s="1">
        <f>Tabla1[[#This Row],[tiempo]]/(IF(Tabla1[[#This Row],[tamanho]]=$I$3,$L$3,IF(Tabla1[[#This Row],[tamanho]]=$I$4,$L$4,IF(Tabla1[[#This Row],[tamanho]]=$I$5,$L$5,IF(Tabla1[[#This Row],[tamanho]]=$I$6,$L$6,0))))*IF(C2065="8_1",9,25))</f>
        <v>4.2581068366519352E-7</v>
      </c>
    </row>
    <row r="2066" spans="1:6" ht="12.75" x14ac:dyDescent="0.2">
      <c r="A2066" s="1">
        <v>86</v>
      </c>
      <c r="B2066" s="1">
        <v>1</v>
      </c>
      <c r="C2066" s="1" t="s">
        <v>5</v>
      </c>
      <c r="D2066" s="1" t="s">
        <v>6</v>
      </c>
      <c r="E2066" s="1">
        <v>0.411089897155761</v>
      </c>
      <c r="F2066" s="1">
        <f>Tabla1[[#This Row],[tiempo]]/(IF(Tabla1[[#This Row],[tamanho]]=$I$3,$L$3,IF(Tabla1[[#This Row],[tamanho]]=$I$4,$L$4,IF(Tabla1[[#This Row],[tamanho]]=$I$5,$L$5,IF(Tabla1[[#This Row],[tamanho]]=$I$6,$L$6,0))))*IF(C2066="8_1",9,25))</f>
        <v>1.6941751136652572E-6</v>
      </c>
    </row>
    <row r="2067" spans="1:6" ht="12.75" x14ac:dyDescent="0.2">
      <c r="A2067" s="1">
        <v>86</v>
      </c>
      <c r="B2067" s="1">
        <v>1</v>
      </c>
      <c r="C2067" s="1" t="s">
        <v>7</v>
      </c>
      <c r="D2067" s="1" t="s">
        <v>6</v>
      </c>
      <c r="E2067" s="1">
        <v>0.46372246742248502</v>
      </c>
      <c r="F2067" s="1">
        <f>Tabla1[[#This Row],[tiempo]]/(IF(Tabla1[[#This Row],[tamanho]]=$I$3,$L$3,IF(Tabla1[[#This Row],[tamanho]]=$I$4,$L$4,IF(Tabla1[[#This Row],[tamanho]]=$I$5,$L$5,IF(Tabla1[[#This Row],[tamanho]]=$I$6,$L$6,0))))*IF(C2067="8_1",9,25))</f>
        <v>6.8799001138308674E-7</v>
      </c>
    </row>
    <row r="2068" spans="1:6" ht="12.75" x14ac:dyDescent="0.2">
      <c r="A2068" s="1">
        <v>86</v>
      </c>
      <c r="B2068" s="1">
        <v>1</v>
      </c>
      <c r="C2068" s="1" t="s">
        <v>8</v>
      </c>
      <c r="D2068" s="1" t="s">
        <v>6</v>
      </c>
      <c r="E2068" s="1">
        <v>0.46783757209777799</v>
      </c>
      <c r="F2068" s="1">
        <f>Tabla1[[#This Row],[tiempo]]/(IF(Tabla1[[#This Row],[tamanho]]=$I$3,$L$3,IF(Tabla1[[#This Row],[tamanho]]=$I$4,$L$4,IF(Tabla1[[#This Row],[tamanho]]=$I$5,$L$5,IF(Tabla1[[#This Row],[tamanho]]=$I$6,$L$6,0))))*IF(C2068="8_1",9,25))</f>
        <v>6.9409528147736065E-7</v>
      </c>
    </row>
    <row r="2069" spans="1:6" ht="12.75" x14ac:dyDescent="0.2">
      <c r="A2069" s="1">
        <v>86</v>
      </c>
      <c r="B2069" s="1">
        <v>1</v>
      </c>
      <c r="C2069" s="1" t="s">
        <v>5</v>
      </c>
      <c r="D2069" s="1" t="s">
        <v>9</v>
      </c>
      <c r="E2069" s="1">
        <v>0.41034817695617598</v>
      </c>
      <c r="F2069" s="1">
        <f>Tabla1[[#This Row],[tiempo]]/(IF(Tabla1[[#This Row],[tamanho]]=$I$3,$L$3,IF(Tabla1[[#This Row],[tamanho]]=$I$4,$L$4,IF(Tabla1[[#This Row],[tamanho]]=$I$5,$L$5,IF(Tabla1[[#This Row],[tamanho]]=$I$6,$L$6,0))))*IF(C2069="8_1",9,25))</f>
        <v>1.6911183518422741E-6</v>
      </c>
    </row>
    <row r="2070" spans="1:6" ht="12.75" x14ac:dyDescent="0.2">
      <c r="A2070" s="1">
        <v>86</v>
      </c>
      <c r="B2070" s="1">
        <v>1</v>
      </c>
      <c r="C2070" s="1" t="s">
        <v>7</v>
      </c>
      <c r="D2070" s="1" t="s">
        <v>9</v>
      </c>
      <c r="E2070" s="1">
        <v>0.46182966232299799</v>
      </c>
      <c r="F2070" s="1">
        <f>Tabla1[[#This Row],[tiempo]]/(IF(Tabla1[[#This Row],[tamanho]]=$I$3,$L$3,IF(Tabla1[[#This Row],[tamanho]]=$I$4,$L$4,IF(Tabla1[[#This Row],[tamanho]]=$I$5,$L$5,IF(Tabla1[[#This Row],[tamanho]]=$I$6,$L$6,0))))*IF(C2070="8_1",9,25))</f>
        <v>6.8518179937390751E-7</v>
      </c>
    </row>
    <row r="2071" spans="1:6" ht="12.75" x14ac:dyDescent="0.2">
      <c r="A2071" s="1">
        <v>86</v>
      </c>
      <c r="B2071" s="1">
        <v>1</v>
      </c>
      <c r="C2071" s="1" t="s">
        <v>8</v>
      </c>
      <c r="D2071" s="1" t="s">
        <v>9</v>
      </c>
      <c r="E2071" s="1">
        <v>0.469243764877319</v>
      </c>
      <c r="F2071" s="1">
        <f>Tabla1[[#This Row],[tiempo]]/(IF(Tabla1[[#This Row],[tamanho]]=$I$3,$L$3,IF(Tabla1[[#This Row],[tamanho]]=$I$4,$L$4,IF(Tabla1[[#This Row],[tamanho]]=$I$5,$L$5,IF(Tabla1[[#This Row],[tamanho]]=$I$6,$L$6,0))))*IF(C2071="8_1",9,25))</f>
        <v>6.9618154352927411E-7</v>
      </c>
    </row>
    <row r="2072" spans="1:6" ht="12.75" x14ac:dyDescent="0.2">
      <c r="A2072" s="1">
        <v>86</v>
      </c>
      <c r="B2072" s="1">
        <v>2</v>
      </c>
      <c r="C2072" s="1" t="s">
        <v>5</v>
      </c>
      <c r="D2072" s="1" t="s">
        <v>6</v>
      </c>
      <c r="E2072" s="1">
        <v>1.6892511844635001</v>
      </c>
      <c r="F2072" s="1">
        <f>Tabla1[[#This Row],[tiempo]]/(IF(Tabla1[[#This Row],[tamanho]]=$I$3,$L$3,IF(Tabla1[[#This Row],[tamanho]]=$I$4,$L$4,IF(Tabla1[[#This Row],[tamanho]]=$I$5,$L$5,IF(Tabla1[[#This Row],[tamanho]]=$I$6,$L$6,0))))*IF(C2072="8_1",9,25))</f>
        <v>1.0227361082131843E-6</v>
      </c>
    </row>
    <row r="2073" spans="1:6" ht="12.75" x14ac:dyDescent="0.2">
      <c r="A2073" s="1">
        <v>86</v>
      </c>
      <c r="B2073" s="1">
        <v>2</v>
      </c>
      <c r="C2073" s="1" t="s">
        <v>7</v>
      </c>
      <c r="D2073" s="1" t="s">
        <v>6</v>
      </c>
      <c r="E2073" s="1">
        <v>1.8992183208465501</v>
      </c>
      <c r="F2073" s="1">
        <f>Tabla1[[#This Row],[tiempo]]/(IF(Tabla1[[#This Row],[tamanho]]=$I$3,$L$3,IF(Tabla1[[#This Row],[tamanho]]=$I$4,$L$4,IF(Tabla1[[#This Row],[tamanho]]=$I$5,$L$5,IF(Tabla1[[#This Row],[tamanho]]=$I$6,$L$6,0))))*IF(C2073="8_1",9,25))</f>
        <v>4.1394891530095574E-7</v>
      </c>
    </row>
    <row r="2074" spans="1:6" ht="12.75" x14ac:dyDescent="0.2">
      <c r="A2074" s="1">
        <v>86</v>
      </c>
      <c r="B2074" s="1">
        <v>2</v>
      </c>
      <c r="C2074" s="1" t="s">
        <v>8</v>
      </c>
      <c r="D2074" s="1" t="s">
        <v>6</v>
      </c>
      <c r="E2074" s="1">
        <v>1.8970241546630799</v>
      </c>
      <c r="F2074" s="1">
        <f>Tabla1[[#This Row],[tiempo]]/(IF(Tabla1[[#This Row],[tamanho]]=$I$3,$L$3,IF(Tabla1[[#This Row],[tamanho]]=$I$4,$L$4,IF(Tabla1[[#This Row],[tamanho]]=$I$5,$L$5,IF(Tabla1[[#This Row],[tamanho]]=$I$6,$L$6,0))))*IF(C2074="8_1",9,25))</f>
        <v>4.1347068028096468E-7</v>
      </c>
    </row>
    <row r="2075" spans="1:6" ht="12.75" x14ac:dyDescent="0.2">
      <c r="A2075" s="1">
        <v>86</v>
      </c>
      <c r="B2075" s="1">
        <v>2</v>
      </c>
      <c r="C2075" s="1" t="s">
        <v>5</v>
      </c>
      <c r="D2075" s="1" t="s">
        <v>9</v>
      </c>
      <c r="E2075" s="1">
        <v>1.68718290328979</v>
      </c>
      <c r="F2075" s="1">
        <f>Tabla1[[#This Row],[tiempo]]/(IF(Tabla1[[#This Row],[tamanho]]=$I$3,$L$3,IF(Tabla1[[#This Row],[tamanho]]=$I$4,$L$4,IF(Tabla1[[#This Row],[tamanho]]=$I$5,$L$5,IF(Tabla1[[#This Row],[tamanho]]=$I$6,$L$6,0))))*IF(C2075="8_1",9,25))</f>
        <v>1.021483893114716E-6</v>
      </c>
    </row>
    <row r="2076" spans="1:6" ht="12.75" x14ac:dyDescent="0.2">
      <c r="A2076" s="1">
        <v>86</v>
      </c>
      <c r="B2076" s="1">
        <v>2</v>
      </c>
      <c r="C2076" s="1" t="s">
        <v>7</v>
      </c>
      <c r="D2076" s="1" t="s">
        <v>9</v>
      </c>
      <c r="E2076" s="1">
        <v>1.8939664363861</v>
      </c>
      <c r="F2076" s="1">
        <f>Tabla1[[#This Row],[tiempo]]/(IF(Tabla1[[#This Row],[tamanho]]=$I$3,$L$3,IF(Tabla1[[#This Row],[tamanho]]=$I$4,$L$4,IF(Tabla1[[#This Row],[tamanho]]=$I$5,$L$5,IF(Tabla1[[#This Row],[tamanho]]=$I$6,$L$6,0))))*IF(C2076="8_1",9,25))</f>
        <v>4.1280422758821284E-7</v>
      </c>
    </row>
    <row r="2077" spans="1:6" ht="12.75" x14ac:dyDescent="0.2">
      <c r="A2077" s="1">
        <v>86</v>
      </c>
      <c r="B2077" s="1">
        <v>2</v>
      </c>
      <c r="C2077" s="1" t="s">
        <v>8</v>
      </c>
      <c r="D2077" s="1" t="s">
        <v>9</v>
      </c>
      <c r="E2077" s="1">
        <v>1.9272143840789699</v>
      </c>
      <c r="F2077" s="1">
        <f>Tabla1[[#This Row],[tiempo]]/(IF(Tabla1[[#This Row],[tamanho]]=$I$3,$L$3,IF(Tabla1[[#This Row],[tamanho]]=$I$4,$L$4,IF(Tabla1[[#This Row],[tamanho]]=$I$5,$L$5,IF(Tabla1[[#This Row],[tamanho]]=$I$6,$L$6,0))))*IF(C2077="8_1",9,25))</f>
        <v>4.2005086781507829E-7</v>
      </c>
    </row>
    <row r="2078" spans="1:6" ht="12.75" x14ac:dyDescent="0.2">
      <c r="A2078" s="1">
        <v>86</v>
      </c>
      <c r="B2078" s="1">
        <v>3</v>
      </c>
      <c r="C2078" s="1" t="s">
        <v>5</v>
      </c>
      <c r="D2078" s="1" t="s">
        <v>6</v>
      </c>
      <c r="E2078" s="1">
        <v>3.83497714996337</v>
      </c>
      <c r="F2078" s="1">
        <f>Tabla1[[#This Row],[tiempo]]/(IF(Tabla1[[#This Row],[tamanho]]=$I$3,$L$3,IF(Tabla1[[#This Row],[tamanho]]=$I$4,$L$4,IF(Tabla1[[#This Row],[tamanho]]=$I$5,$L$5,IF(Tabla1[[#This Row],[tamanho]]=$I$6,$L$6,0))))*IF(C2078="8_1",9,25))</f>
        <v>1.031108236886731E-6</v>
      </c>
    </row>
    <row r="2079" spans="1:6" ht="12.75" x14ac:dyDescent="0.2">
      <c r="A2079" s="1">
        <v>86</v>
      </c>
      <c r="B2079" s="1">
        <v>3</v>
      </c>
      <c r="C2079" s="1" t="s">
        <v>7</v>
      </c>
      <c r="D2079" s="1" t="s">
        <v>6</v>
      </c>
      <c r="E2079" s="1">
        <v>4.3182003498077304</v>
      </c>
      <c r="F2079" s="1">
        <f>Tabla1[[#This Row],[tiempo]]/(IF(Tabla1[[#This Row],[tamanho]]=$I$3,$L$3,IF(Tabla1[[#This Row],[tamanho]]=$I$4,$L$4,IF(Tabla1[[#This Row],[tamanho]]=$I$5,$L$5,IF(Tabla1[[#This Row],[tamanho]]=$I$6,$L$6,0))))*IF(C2079="8_1",9,25))</f>
        <v>4.179715912342057E-7</v>
      </c>
    </row>
    <row r="2080" spans="1:6" ht="12.75" x14ac:dyDescent="0.2">
      <c r="A2080" s="1">
        <v>86</v>
      </c>
      <c r="B2080" s="1">
        <v>3</v>
      </c>
      <c r="C2080" s="1" t="s">
        <v>8</v>
      </c>
      <c r="D2080" s="1" t="s">
        <v>6</v>
      </c>
      <c r="E2080" s="1">
        <v>4.3083689212799001</v>
      </c>
      <c r="F2080" s="1">
        <f>Tabla1[[#This Row],[tiempo]]/(IF(Tabla1[[#This Row],[tamanho]]=$I$3,$L$3,IF(Tabla1[[#This Row],[tamanho]]=$I$4,$L$4,IF(Tabla1[[#This Row],[tamanho]]=$I$5,$L$5,IF(Tabla1[[#This Row],[tamanho]]=$I$6,$L$6,0))))*IF(C2080="8_1",9,25))</f>
        <v>4.1701997771630456E-7</v>
      </c>
    </row>
    <row r="2081" spans="1:6" ht="12.75" x14ac:dyDescent="0.2">
      <c r="A2081" s="1">
        <v>86</v>
      </c>
      <c r="B2081" s="1">
        <v>3</v>
      </c>
      <c r="C2081" s="1" t="s">
        <v>5</v>
      </c>
      <c r="D2081" s="1" t="s">
        <v>9</v>
      </c>
      <c r="E2081" s="1">
        <v>3.8217303752899099</v>
      </c>
      <c r="F2081" s="1">
        <f>Tabla1[[#This Row],[tiempo]]/(IF(Tabla1[[#This Row],[tamanho]]=$I$3,$L$3,IF(Tabla1[[#This Row],[tamanho]]=$I$4,$L$4,IF(Tabla1[[#This Row],[tamanho]]=$I$5,$L$5,IF(Tabla1[[#This Row],[tamanho]]=$I$6,$L$6,0))))*IF(C2081="8_1",9,25))</f>
        <v>1.0275465837284799E-6</v>
      </c>
    </row>
    <row r="2082" spans="1:6" ht="12.75" x14ac:dyDescent="0.2">
      <c r="A2082" s="1">
        <v>86</v>
      </c>
      <c r="B2082" s="1">
        <v>3</v>
      </c>
      <c r="C2082" s="1" t="s">
        <v>7</v>
      </c>
      <c r="D2082" s="1" t="s">
        <v>9</v>
      </c>
      <c r="E2082" s="1">
        <v>4.2790851593017498</v>
      </c>
      <c r="F2082" s="1">
        <f>Tabla1[[#This Row],[tiempo]]/(IF(Tabla1[[#This Row],[tamanho]]=$I$3,$L$3,IF(Tabla1[[#This Row],[tamanho]]=$I$4,$L$4,IF(Tabla1[[#This Row],[tamanho]]=$I$5,$L$5,IF(Tabla1[[#This Row],[tamanho]]=$I$6,$L$6,0))))*IF(C2082="8_1",9,25))</f>
        <v>4.1418551437514063E-7</v>
      </c>
    </row>
    <row r="2083" spans="1:6" ht="12.75" x14ac:dyDescent="0.2">
      <c r="A2083" s="1">
        <v>86</v>
      </c>
      <c r="B2083" s="1">
        <v>3</v>
      </c>
      <c r="C2083" s="1" t="s">
        <v>8</v>
      </c>
      <c r="D2083" s="1" t="s">
        <v>9</v>
      </c>
      <c r="E2083" s="1">
        <v>4.34503078460693</v>
      </c>
      <c r="F2083" s="1">
        <f>Tabla1[[#This Row],[tiempo]]/(IF(Tabla1[[#This Row],[tamanho]]=$I$3,$L$3,IF(Tabla1[[#This Row],[tamanho]]=$I$4,$L$4,IF(Tabla1[[#This Row],[tamanho]]=$I$5,$L$5,IF(Tabla1[[#This Row],[tamanho]]=$I$6,$L$6,0))))*IF(C2083="8_1",9,25))</f>
        <v>4.2056858966366173E-7</v>
      </c>
    </row>
    <row r="2084" spans="1:6" ht="12.75" x14ac:dyDescent="0.2">
      <c r="A2084" s="1">
        <v>86</v>
      </c>
      <c r="B2084" s="1">
        <v>4</v>
      </c>
      <c r="C2084" s="1" t="s">
        <v>5</v>
      </c>
      <c r="D2084" s="1" t="s">
        <v>6</v>
      </c>
      <c r="E2084" s="1">
        <v>6.8976957798004097</v>
      </c>
      <c r="F2084" s="1">
        <f>Tabla1[[#This Row],[tiempo]]/(IF(Tabla1[[#This Row],[tamanho]]=$I$3,$L$3,IF(Tabla1[[#This Row],[tamanho]]=$I$4,$L$4,IF(Tabla1[[#This Row],[tamanho]]=$I$5,$L$5,IF(Tabla1[[#This Row],[tamanho]]=$I$6,$L$6,0))))*IF(C2084="8_1",9,25))</f>
        <v>1.0415976045219244E-6</v>
      </c>
    </row>
    <row r="2085" spans="1:6" ht="12.75" x14ac:dyDescent="0.2">
      <c r="A2085" s="1">
        <v>86</v>
      </c>
      <c r="B2085" s="1">
        <v>4</v>
      </c>
      <c r="C2085" s="1" t="s">
        <v>7</v>
      </c>
      <c r="D2085" s="1" t="s">
        <v>6</v>
      </c>
      <c r="E2085" s="1">
        <v>7.71052694320678</v>
      </c>
      <c r="F2085" s="1">
        <f>Tabla1[[#This Row],[tiempo]]/(IF(Tabla1[[#This Row],[tamanho]]=$I$3,$L$3,IF(Tabla1[[#This Row],[tamanho]]=$I$4,$L$4,IF(Tabla1[[#This Row],[tamanho]]=$I$5,$L$5,IF(Tabla1[[#This Row],[tamanho]]=$I$6,$L$6,0))))*IF(C2085="8_1",9,25))</f>
        <v>4.1916257167784205E-7</v>
      </c>
    </row>
    <row r="2086" spans="1:6" ht="12.75" x14ac:dyDescent="0.2">
      <c r="A2086" s="1">
        <v>86</v>
      </c>
      <c r="B2086" s="1">
        <v>4</v>
      </c>
      <c r="C2086" s="1" t="s">
        <v>8</v>
      </c>
      <c r="D2086" s="1" t="s">
        <v>6</v>
      </c>
      <c r="E2086" s="1">
        <v>7.7068796157836896</v>
      </c>
      <c r="F2086" s="1">
        <f>Tabla1[[#This Row],[tiempo]]/(IF(Tabla1[[#This Row],[tamanho]]=$I$3,$L$3,IF(Tabla1[[#This Row],[tamanho]]=$I$4,$L$4,IF(Tabla1[[#This Row],[tamanho]]=$I$5,$L$5,IF(Tabla1[[#This Row],[tamanho]]=$I$6,$L$6,0))))*IF(C2086="8_1",9,25))</f>
        <v>4.1896429428984059E-7</v>
      </c>
    </row>
    <row r="2087" spans="1:6" ht="12.75" x14ac:dyDescent="0.2">
      <c r="A2087" s="1">
        <v>86</v>
      </c>
      <c r="B2087" s="1">
        <v>4</v>
      </c>
      <c r="C2087" s="1" t="s">
        <v>5</v>
      </c>
      <c r="D2087" s="1" t="s">
        <v>9</v>
      </c>
      <c r="E2087" s="1">
        <v>6.8644735813140798</v>
      </c>
      <c r="F2087" s="1">
        <f>Tabla1[[#This Row],[tiempo]]/(IF(Tabla1[[#This Row],[tamanho]]=$I$3,$L$3,IF(Tabla1[[#This Row],[tamanho]]=$I$4,$L$4,IF(Tabla1[[#This Row],[tamanho]]=$I$5,$L$5,IF(Tabla1[[#This Row],[tamanho]]=$I$6,$L$6,0))))*IF(C2087="8_1",9,25))</f>
        <v>1.0365808332021961E-6</v>
      </c>
    </row>
    <row r="2088" spans="1:6" ht="12.75" x14ac:dyDescent="0.2">
      <c r="A2088" s="1">
        <v>86</v>
      </c>
      <c r="B2088" s="1">
        <v>4</v>
      </c>
      <c r="C2088" s="1" t="s">
        <v>7</v>
      </c>
      <c r="D2088" s="1" t="s">
        <v>9</v>
      </c>
      <c r="E2088" s="1">
        <v>7.7642457485198904</v>
      </c>
      <c r="F2088" s="1">
        <f>Tabla1[[#This Row],[tiempo]]/(IF(Tabla1[[#This Row],[tamanho]]=$I$3,$L$3,IF(Tabla1[[#This Row],[tamanho]]=$I$4,$L$4,IF(Tabla1[[#This Row],[tamanho]]=$I$5,$L$5,IF(Tabla1[[#This Row],[tamanho]]=$I$6,$L$6,0))))*IF(C2088="8_1",9,25))</f>
        <v>4.2208285361814999E-7</v>
      </c>
    </row>
    <row r="2089" spans="1:6" ht="12.75" x14ac:dyDescent="0.2">
      <c r="A2089" s="1">
        <v>86</v>
      </c>
      <c r="B2089" s="1">
        <v>4</v>
      </c>
      <c r="C2089" s="1" t="s">
        <v>8</v>
      </c>
      <c r="D2089" s="1" t="s">
        <v>9</v>
      </c>
      <c r="E2089" s="1">
        <v>7.7952761650085396</v>
      </c>
      <c r="F2089" s="1">
        <f>Tabla1[[#This Row],[tiempo]]/(IF(Tabla1[[#This Row],[tamanho]]=$I$3,$L$3,IF(Tabla1[[#This Row],[tamanho]]=$I$4,$L$4,IF(Tabla1[[#This Row],[tamanho]]=$I$5,$L$5,IF(Tabla1[[#This Row],[tamanho]]=$I$6,$L$6,0))))*IF(C2089="8_1",9,25))</f>
        <v>4.2376974081424181E-7</v>
      </c>
    </row>
    <row r="2090" spans="1:6" ht="12.75" x14ac:dyDescent="0.2">
      <c r="A2090" s="1">
        <v>87</v>
      </c>
      <c r="B2090" s="1">
        <v>1</v>
      </c>
      <c r="C2090" s="1" t="s">
        <v>5</v>
      </c>
      <c r="D2090" s="1" t="s">
        <v>6</v>
      </c>
      <c r="E2090" s="1">
        <v>0.40898227691650302</v>
      </c>
      <c r="F2090" s="1">
        <f>Tabla1[[#This Row],[tiempo]]/(IF(Tabla1[[#This Row],[tamanho]]=$I$3,$L$3,IF(Tabla1[[#This Row],[tamanho]]=$I$4,$L$4,IF(Tabla1[[#This Row],[tamanho]]=$I$5,$L$5,IF(Tabla1[[#This Row],[tamanho]]=$I$6,$L$6,0))))*IF(C2090="8_1",9,25))</f>
        <v>1.6854892330753599E-6</v>
      </c>
    </row>
    <row r="2091" spans="1:6" ht="12.75" x14ac:dyDescent="0.2">
      <c r="A2091" s="1">
        <v>87</v>
      </c>
      <c r="B2091" s="1">
        <v>1</v>
      </c>
      <c r="C2091" s="1" t="s">
        <v>7</v>
      </c>
      <c r="D2091" s="1" t="s">
        <v>6</v>
      </c>
      <c r="E2091" s="1">
        <v>0.461385488510131</v>
      </c>
      <c r="F2091" s="1">
        <f>Tabla1[[#This Row],[tiempo]]/(IF(Tabla1[[#This Row],[tamanho]]=$I$3,$L$3,IF(Tabla1[[#This Row],[tamanho]]=$I$4,$L$4,IF(Tabla1[[#This Row],[tamanho]]=$I$5,$L$5,IF(Tabla1[[#This Row],[tamanho]]=$I$6,$L$6,0))))*IF(C2091="8_1",9,25))</f>
        <v>6.8452281222526018E-7</v>
      </c>
    </row>
    <row r="2092" spans="1:6" ht="12.75" x14ac:dyDescent="0.2">
      <c r="A2092" s="1">
        <v>87</v>
      </c>
      <c r="B2092" s="1">
        <v>1</v>
      </c>
      <c r="C2092" s="1" t="s">
        <v>8</v>
      </c>
      <c r="D2092" s="1" t="s">
        <v>6</v>
      </c>
      <c r="E2092" s="1">
        <v>0.46325087547302202</v>
      </c>
      <c r="F2092" s="1">
        <f>Tabla1[[#This Row],[tiempo]]/(IF(Tabla1[[#This Row],[tamanho]]=$I$3,$L$3,IF(Tabla1[[#This Row],[tamanho]]=$I$4,$L$4,IF(Tabla1[[#This Row],[tamanho]]=$I$5,$L$5,IF(Tabla1[[#This Row],[tamanho]]=$I$6,$L$6,0))))*IF(C2092="8_1",9,25))</f>
        <v>6.8729034601538815E-7</v>
      </c>
    </row>
    <row r="2093" spans="1:6" ht="12.75" x14ac:dyDescent="0.2">
      <c r="A2093" s="1">
        <v>87</v>
      </c>
      <c r="B2093" s="1">
        <v>1</v>
      </c>
      <c r="C2093" s="1" t="s">
        <v>5</v>
      </c>
      <c r="D2093" s="1" t="s">
        <v>9</v>
      </c>
      <c r="E2093" s="1">
        <v>0.41365027427673301</v>
      </c>
      <c r="F2093" s="1">
        <f>Tabla1[[#This Row],[tiempo]]/(IF(Tabla1[[#This Row],[tamanho]]=$I$3,$L$3,IF(Tabla1[[#This Row],[tamanho]]=$I$4,$L$4,IF(Tabla1[[#This Row],[tamanho]]=$I$5,$L$5,IF(Tabla1[[#This Row],[tamanho]]=$I$6,$L$6,0))))*IF(C2093="8_1",9,25))</f>
        <v>1.7047268864768987E-6</v>
      </c>
    </row>
    <row r="2094" spans="1:6" ht="12.75" x14ac:dyDescent="0.2">
      <c r="A2094" s="1">
        <v>87</v>
      </c>
      <c r="B2094" s="1">
        <v>1</v>
      </c>
      <c r="C2094" s="1" t="s">
        <v>7</v>
      </c>
      <c r="D2094" s="1" t="s">
        <v>9</v>
      </c>
      <c r="E2094" s="1">
        <v>0.46321082115173301</v>
      </c>
      <c r="F2094" s="1">
        <f>Tabla1[[#This Row],[tiempo]]/(IF(Tabla1[[#This Row],[tamanho]]=$I$3,$L$3,IF(Tabla1[[#This Row],[tamanho]]=$I$4,$L$4,IF(Tabla1[[#This Row],[tamanho]]=$I$5,$L$5,IF(Tabla1[[#This Row],[tamanho]]=$I$6,$L$6,0))))*IF(C2094="8_1",9,25))</f>
        <v>6.8723092044320766E-7</v>
      </c>
    </row>
    <row r="2095" spans="1:6" ht="12.75" x14ac:dyDescent="0.2">
      <c r="A2095" s="1">
        <v>87</v>
      </c>
      <c r="B2095" s="1">
        <v>1</v>
      </c>
      <c r="C2095" s="1" t="s">
        <v>8</v>
      </c>
      <c r="D2095" s="1" t="s">
        <v>9</v>
      </c>
      <c r="E2095" s="1">
        <v>0.46588897705078097</v>
      </c>
      <c r="F2095" s="1">
        <f>Tabla1[[#This Row],[tiempo]]/(IF(Tabla1[[#This Row],[tamanho]]=$I$3,$L$3,IF(Tabla1[[#This Row],[tamanho]]=$I$4,$L$4,IF(Tabla1[[#This Row],[tamanho]]=$I$5,$L$5,IF(Tabla1[[#This Row],[tamanho]]=$I$6,$L$6,0))))*IF(C2095="8_1",9,25))</f>
        <v>6.9120429813550089E-7</v>
      </c>
    </row>
    <row r="2096" spans="1:6" ht="12.75" x14ac:dyDescent="0.2">
      <c r="A2096" s="1">
        <v>87</v>
      </c>
      <c r="B2096" s="1">
        <v>2</v>
      </c>
      <c r="C2096" s="1" t="s">
        <v>5</v>
      </c>
      <c r="D2096" s="1" t="s">
        <v>6</v>
      </c>
      <c r="E2096" s="1">
        <v>1.68850469589233</v>
      </c>
      <c r="F2096" s="1">
        <f>Tabla1[[#This Row],[tiempo]]/(IF(Tabla1[[#This Row],[tamanho]]=$I$3,$L$3,IF(Tabla1[[#This Row],[tamanho]]=$I$4,$L$4,IF(Tabla1[[#This Row],[tamanho]]=$I$5,$L$5,IF(Tabla1[[#This Row],[tamanho]]=$I$6,$L$6,0))))*IF(C2096="8_1",9,25))</f>
        <v>1.0222841559972404E-6</v>
      </c>
    </row>
    <row r="2097" spans="1:6" ht="12.75" x14ac:dyDescent="0.2">
      <c r="A2097" s="1">
        <v>87</v>
      </c>
      <c r="B2097" s="1">
        <v>2</v>
      </c>
      <c r="C2097" s="1" t="s">
        <v>7</v>
      </c>
      <c r="D2097" s="1" t="s">
        <v>6</v>
      </c>
      <c r="E2097" s="1">
        <v>1.9077520370483301</v>
      </c>
      <c r="F2097" s="1">
        <f>Tabla1[[#This Row],[tiempo]]/(IF(Tabla1[[#This Row],[tamanho]]=$I$3,$L$3,IF(Tabla1[[#This Row],[tamanho]]=$I$4,$L$4,IF(Tabla1[[#This Row],[tamanho]]=$I$5,$L$5,IF(Tabla1[[#This Row],[tamanho]]=$I$6,$L$6,0))))*IF(C2097="8_1",9,25))</f>
        <v>4.158089029213566E-7</v>
      </c>
    </row>
    <row r="2098" spans="1:6" ht="12.75" x14ac:dyDescent="0.2">
      <c r="A2098" s="1">
        <v>87</v>
      </c>
      <c r="B2098" s="1">
        <v>2</v>
      </c>
      <c r="C2098" s="1" t="s">
        <v>8</v>
      </c>
      <c r="D2098" s="1" t="s">
        <v>6</v>
      </c>
      <c r="E2098" s="1">
        <v>1.9084782600402801</v>
      </c>
      <c r="F2098" s="1">
        <f>Tabla1[[#This Row],[tiempo]]/(IF(Tabla1[[#This Row],[tamanho]]=$I$3,$L$3,IF(Tabla1[[#This Row],[tamanho]]=$I$4,$L$4,IF(Tabla1[[#This Row],[tamanho]]=$I$5,$L$5,IF(Tabla1[[#This Row],[tamanho]]=$I$6,$L$6,0))))*IF(C2098="8_1",9,25))</f>
        <v>4.1596718868370663E-7</v>
      </c>
    </row>
    <row r="2099" spans="1:6" ht="12.75" x14ac:dyDescent="0.2">
      <c r="A2099" s="1">
        <v>87</v>
      </c>
      <c r="B2099" s="1">
        <v>2</v>
      </c>
      <c r="C2099" s="1" t="s">
        <v>5</v>
      </c>
      <c r="D2099" s="1" t="s">
        <v>9</v>
      </c>
      <c r="E2099" s="1">
        <v>1.6914744377136199</v>
      </c>
      <c r="F2099" s="1">
        <f>Tabla1[[#This Row],[tiempo]]/(IF(Tabla1[[#This Row],[tamanho]]=$I$3,$L$3,IF(Tabla1[[#This Row],[tamanho]]=$I$4,$L$4,IF(Tabla1[[#This Row],[tamanho]]=$I$5,$L$5,IF(Tabla1[[#This Row],[tamanho]]=$I$6,$L$6,0))))*IF(C2099="8_1",9,25))</f>
        <v>1.0240821492268077E-6</v>
      </c>
    </row>
    <row r="2100" spans="1:6" ht="12.75" x14ac:dyDescent="0.2">
      <c r="A2100" s="1">
        <v>87</v>
      </c>
      <c r="B2100" s="1">
        <v>2</v>
      </c>
      <c r="C2100" s="1" t="s">
        <v>7</v>
      </c>
      <c r="D2100" s="1" t="s">
        <v>9</v>
      </c>
      <c r="E2100" s="1">
        <v>1.8930854797363199</v>
      </c>
      <c r="F2100" s="1">
        <f>Tabla1[[#This Row],[tiempo]]/(IF(Tabla1[[#This Row],[tamanho]]=$I$3,$L$3,IF(Tabla1[[#This Row],[tamanho]]=$I$4,$L$4,IF(Tabla1[[#This Row],[tamanho]]=$I$5,$L$5,IF(Tabla1[[#This Row],[tamanho]]=$I$6,$L$6,0))))*IF(C2100="8_1",9,25))</f>
        <v>4.1261221646152939E-7</v>
      </c>
    </row>
    <row r="2101" spans="1:6" ht="12.75" x14ac:dyDescent="0.2">
      <c r="A2101" s="1">
        <v>87</v>
      </c>
      <c r="B2101" s="1">
        <v>2</v>
      </c>
      <c r="C2101" s="1" t="s">
        <v>8</v>
      </c>
      <c r="D2101" s="1" t="s">
        <v>9</v>
      </c>
      <c r="E2101" s="1">
        <v>1.92087125778198</v>
      </c>
      <c r="F2101" s="1">
        <f>Tabla1[[#This Row],[tiempo]]/(IF(Tabla1[[#This Row],[tamanho]]=$I$3,$L$3,IF(Tabla1[[#This Row],[tamanho]]=$I$4,$L$4,IF(Tabla1[[#This Row],[tamanho]]=$I$5,$L$5,IF(Tabla1[[#This Row],[tamanho]]=$I$6,$L$6,0))))*IF(C2101="8_1",9,25))</f>
        <v>4.1866833573783634E-7</v>
      </c>
    </row>
    <row r="2102" spans="1:6" ht="12.75" x14ac:dyDescent="0.2">
      <c r="A2102" s="1">
        <v>87</v>
      </c>
      <c r="B2102" s="1">
        <v>3</v>
      </c>
      <c r="C2102" s="1" t="s">
        <v>5</v>
      </c>
      <c r="D2102" s="1" t="s">
        <v>6</v>
      </c>
      <c r="E2102" s="1">
        <v>3.8646829128265301</v>
      </c>
      <c r="F2102" s="1">
        <f>Tabla1[[#This Row],[tiempo]]/(IF(Tabla1[[#This Row],[tamanho]]=$I$3,$L$3,IF(Tabla1[[#This Row],[tamanho]]=$I$4,$L$4,IF(Tabla1[[#This Row],[tamanho]]=$I$5,$L$5,IF(Tabla1[[#This Row],[tamanho]]=$I$6,$L$6,0))))*IF(C2102="8_1",9,25))</f>
        <v>1.0390952093179749E-6</v>
      </c>
    </row>
    <row r="2103" spans="1:6" ht="12.75" x14ac:dyDescent="0.2">
      <c r="A2103" s="1">
        <v>87</v>
      </c>
      <c r="B2103" s="1">
        <v>3</v>
      </c>
      <c r="C2103" s="1" t="s">
        <v>7</v>
      </c>
      <c r="D2103" s="1" t="s">
        <v>6</v>
      </c>
      <c r="E2103" s="1">
        <v>4.3429667949676496</v>
      </c>
      <c r="F2103" s="1">
        <f>Tabla1[[#This Row],[tiempo]]/(IF(Tabla1[[#This Row],[tamanho]]=$I$3,$L$3,IF(Tabla1[[#This Row],[tamanho]]=$I$4,$L$4,IF(Tabla1[[#This Row],[tamanho]]=$I$5,$L$5,IF(Tabla1[[#This Row],[tamanho]]=$I$6,$L$6,0))))*IF(C2103="8_1",9,25))</f>
        <v>4.2036880990266493E-7</v>
      </c>
    </row>
    <row r="2104" spans="1:6" ht="12.75" x14ac:dyDescent="0.2">
      <c r="A2104" s="1">
        <v>87</v>
      </c>
      <c r="B2104" s="1">
        <v>3</v>
      </c>
      <c r="C2104" s="1" t="s">
        <v>8</v>
      </c>
      <c r="D2104" s="1" t="s">
        <v>6</v>
      </c>
      <c r="E2104" s="1">
        <v>4.3495125770568803</v>
      </c>
      <c r="F2104" s="1">
        <f>Tabla1[[#This Row],[tiempo]]/(IF(Tabla1[[#This Row],[tamanho]]=$I$3,$L$3,IF(Tabla1[[#This Row],[tamanho]]=$I$4,$L$4,IF(Tabla1[[#This Row],[tamanho]]=$I$5,$L$5,IF(Tabla1[[#This Row],[tamanho]]=$I$6,$L$6,0))))*IF(C2104="8_1",9,25))</f>
        <v>4.2100239582598363E-7</v>
      </c>
    </row>
    <row r="2105" spans="1:6" ht="12.75" x14ac:dyDescent="0.2">
      <c r="A2105" s="1">
        <v>87</v>
      </c>
      <c r="B2105" s="1">
        <v>3</v>
      </c>
      <c r="C2105" s="1" t="s">
        <v>5</v>
      </c>
      <c r="D2105" s="1" t="s">
        <v>9</v>
      </c>
      <c r="E2105" s="1">
        <v>3.8759968280792201</v>
      </c>
      <c r="F2105" s="1">
        <f>Tabla1[[#This Row],[tiempo]]/(IF(Tabla1[[#This Row],[tamanho]]=$I$3,$L$3,IF(Tabla1[[#This Row],[tamanho]]=$I$4,$L$4,IF(Tabla1[[#This Row],[tamanho]]=$I$5,$L$5,IF(Tabla1[[#This Row],[tamanho]]=$I$6,$L$6,0))))*IF(C2105="8_1",9,25))</f>
        <v>1.0421371756067697E-6</v>
      </c>
    </row>
    <row r="2106" spans="1:6" ht="12.75" x14ac:dyDescent="0.2">
      <c r="A2106" s="1">
        <v>87</v>
      </c>
      <c r="B2106" s="1">
        <v>3</v>
      </c>
      <c r="C2106" s="1" t="s">
        <v>7</v>
      </c>
      <c r="D2106" s="1" t="s">
        <v>9</v>
      </c>
      <c r="E2106" s="1">
        <v>4.3451170921325604</v>
      </c>
      <c r="F2106" s="1">
        <f>Tabla1[[#This Row],[tiempo]]/(IF(Tabla1[[#This Row],[tamanho]]=$I$3,$L$3,IF(Tabla1[[#This Row],[tamanho]]=$I$4,$L$4,IF(Tabla1[[#This Row],[tamanho]]=$I$5,$L$5,IF(Tabla1[[#This Row],[tamanho]]=$I$6,$L$6,0))))*IF(C2106="8_1",9,25))</f>
        <v>4.2057694362848526E-7</v>
      </c>
    </row>
    <row r="2107" spans="1:6" ht="12.75" x14ac:dyDescent="0.2">
      <c r="A2107" s="1">
        <v>87</v>
      </c>
      <c r="B2107" s="1">
        <v>3</v>
      </c>
      <c r="C2107" s="1" t="s">
        <v>8</v>
      </c>
      <c r="D2107" s="1" t="s">
        <v>9</v>
      </c>
      <c r="E2107" s="1">
        <v>4.3839337825775102</v>
      </c>
      <c r="F2107" s="1">
        <f>Tabla1[[#This Row],[tiempo]]/(IF(Tabla1[[#This Row],[tamanho]]=$I$3,$L$3,IF(Tabla1[[#This Row],[tamanho]]=$I$4,$L$4,IF(Tabla1[[#This Row],[tamanho]]=$I$5,$L$5,IF(Tabla1[[#This Row],[tamanho]]=$I$6,$L$6,0))))*IF(C2107="8_1",9,25))</f>
        <v>4.2433412776943036E-7</v>
      </c>
    </row>
    <row r="2108" spans="1:6" ht="12.75" x14ac:dyDescent="0.2">
      <c r="A2108" s="1">
        <v>87</v>
      </c>
      <c r="B2108" s="1">
        <v>4</v>
      </c>
      <c r="C2108" s="1" t="s">
        <v>5</v>
      </c>
      <c r="D2108" s="1" t="s">
        <v>6</v>
      </c>
      <c r="E2108" s="1">
        <v>6.9456725120544398</v>
      </c>
      <c r="F2108" s="1">
        <f>Tabla1[[#This Row],[tiempo]]/(IF(Tabla1[[#This Row],[tamanho]]=$I$3,$L$3,IF(Tabla1[[#This Row],[tamanho]]=$I$4,$L$4,IF(Tabla1[[#This Row],[tamanho]]=$I$5,$L$5,IF(Tabla1[[#This Row],[tamanho]]=$I$6,$L$6,0))))*IF(C2108="8_1",9,25))</f>
        <v>1.0488424078568192E-6</v>
      </c>
    </row>
    <row r="2109" spans="1:6" ht="12.75" x14ac:dyDescent="0.2">
      <c r="A2109" s="1">
        <v>87</v>
      </c>
      <c r="B2109" s="1">
        <v>4</v>
      </c>
      <c r="C2109" s="1" t="s">
        <v>7</v>
      </c>
      <c r="D2109" s="1" t="s">
        <v>6</v>
      </c>
      <c r="E2109" s="1">
        <v>7.7838711738586399</v>
      </c>
      <c r="F2109" s="1">
        <f>Tabla1[[#This Row],[tiempo]]/(IF(Tabla1[[#This Row],[tamanho]]=$I$3,$L$3,IF(Tabla1[[#This Row],[tamanho]]=$I$4,$L$4,IF(Tabla1[[#This Row],[tamanho]]=$I$5,$L$5,IF(Tabla1[[#This Row],[tamanho]]=$I$6,$L$6,0))))*IF(C2109="8_1",9,25))</f>
        <v>4.2314973838696714E-7</v>
      </c>
    </row>
    <row r="2110" spans="1:6" ht="12.75" x14ac:dyDescent="0.2">
      <c r="A2110" s="1">
        <v>87</v>
      </c>
      <c r="B2110" s="1">
        <v>4</v>
      </c>
      <c r="C2110" s="1" t="s">
        <v>8</v>
      </c>
      <c r="D2110" s="1" t="s">
        <v>6</v>
      </c>
      <c r="E2110" s="1">
        <v>7.7511730194091797</v>
      </c>
      <c r="F2110" s="1">
        <f>Tabla1[[#This Row],[tiempo]]/(IF(Tabla1[[#This Row],[tamanho]]=$I$3,$L$3,IF(Tabla1[[#This Row],[tamanho]]=$I$4,$L$4,IF(Tabla1[[#This Row],[tamanho]]=$I$5,$L$5,IF(Tabla1[[#This Row],[tamanho]]=$I$6,$L$6,0))))*IF(C2110="8_1",9,25))</f>
        <v>4.2137218899130226E-7</v>
      </c>
    </row>
    <row r="2111" spans="1:6" ht="12.75" x14ac:dyDescent="0.2">
      <c r="A2111" s="1">
        <v>87</v>
      </c>
      <c r="B2111" s="1">
        <v>4</v>
      </c>
      <c r="C2111" s="1" t="s">
        <v>5</v>
      </c>
      <c r="D2111" s="1" t="s">
        <v>9</v>
      </c>
      <c r="E2111" s="1">
        <v>6.8799831867218</v>
      </c>
      <c r="F2111" s="1">
        <f>Tabla1[[#This Row],[tiempo]]/(IF(Tabla1[[#This Row],[tamanho]]=$I$3,$L$3,IF(Tabla1[[#This Row],[tamanho]]=$I$4,$L$4,IF(Tabla1[[#This Row],[tamanho]]=$I$5,$L$5,IF(Tabla1[[#This Row],[tamanho]]=$I$6,$L$6,0))))*IF(C2111="8_1",9,25))</f>
        <v>1.0389228860203372E-6</v>
      </c>
    </row>
    <row r="2112" spans="1:6" ht="12.75" x14ac:dyDescent="0.2">
      <c r="A2112" s="1">
        <v>87</v>
      </c>
      <c r="B2112" s="1">
        <v>4</v>
      </c>
      <c r="C2112" s="1" t="s">
        <v>7</v>
      </c>
      <c r="D2112" s="1" t="s">
        <v>9</v>
      </c>
      <c r="E2112" s="1">
        <v>7.7198677062988201</v>
      </c>
      <c r="F2112" s="1">
        <f>Tabla1[[#This Row],[tiempo]]/(IF(Tabla1[[#This Row],[tamanho]]=$I$3,$L$3,IF(Tabla1[[#This Row],[tamanho]]=$I$4,$L$4,IF(Tabla1[[#This Row],[tamanho]]=$I$5,$L$5,IF(Tabla1[[#This Row],[tamanho]]=$I$6,$L$6,0))))*IF(C2112="8_1",9,25))</f>
        <v>4.1967035776145628E-7</v>
      </c>
    </row>
    <row r="2113" spans="1:6" ht="12.75" x14ac:dyDescent="0.2">
      <c r="A2113" s="1">
        <v>87</v>
      </c>
      <c r="B2113" s="1">
        <v>4</v>
      </c>
      <c r="C2113" s="1" t="s">
        <v>8</v>
      </c>
      <c r="D2113" s="1" t="s">
        <v>9</v>
      </c>
      <c r="E2113" s="1">
        <v>7.8066978454589799</v>
      </c>
      <c r="F2113" s="1">
        <f>Tabla1[[#This Row],[tiempo]]/(IF(Tabla1[[#This Row],[tamanho]]=$I$3,$L$3,IF(Tabla1[[#This Row],[tamanho]]=$I$4,$L$4,IF(Tabla1[[#This Row],[tamanho]]=$I$5,$L$5,IF(Tabla1[[#This Row],[tamanho]]=$I$6,$L$6,0))))*IF(C2113="8_1",9,25))</f>
        <v>4.2439065051156246E-7</v>
      </c>
    </row>
    <row r="2114" spans="1:6" ht="12.75" x14ac:dyDescent="0.2">
      <c r="A2114" s="1">
        <v>88</v>
      </c>
      <c r="B2114" s="1">
        <v>1</v>
      </c>
      <c r="C2114" s="1" t="s">
        <v>5</v>
      </c>
      <c r="D2114" s="1" t="s">
        <v>6</v>
      </c>
      <c r="E2114" s="1">
        <v>0.40608191490173301</v>
      </c>
      <c r="F2114" s="1">
        <f>Tabla1[[#This Row],[tiempo]]/(IF(Tabla1[[#This Row],[tamanho]]=$I$3,$L$3,IF(Tabla1[[#This Row],[tamanho]]=$I$4,$L$4,IF(Tabla1[[#This Row],[tamanho]]=$I$5,$L$5,IF(Tabla1[[#This Row],[tamanho]]=$I$6,$L$6,0))))*IF(C2114="8_1",9,25))</f>
        <v>1.6735363216074784E-6</v>
      </c>
    </row>
    <row r="2115" spans="1:6" ht="12.75" x14ac:dyDescent="0.2">
      <c r="A2115" s="1">
        <v>88</v>
      </c>
      <c r="B2115" s="1">
        <v>1</v>
      </c>
      <c r="C2115" s="1" t="s">
        <v>7</v>
      </c>
      <c r="D2115" s="1" t="s">
        <v>6</v>
      </c>
      <c r="E2115" s="1">
        <v>0.46373724937438898</v>
      </c>
      <c r="F2115" s="1">
        <f>Tabla1[[#This Row],[tiempo]]/(IF(Tabla1[[#This Row],[tamanho]]=$I$3,$L$3,IF(Tabla1[[#This Row],[tamanho]]=$I$4,$L$4,IF(Tabla1[[#This Row],[tamanho]]=$I$5,$L$5,IF(Tabla1[[#This Row],[tamanho]]=$I$6,$L$6,0))))*IF(C2115="8_1",9,25))</f>
        <v>6.8801194224901004E-7</v>
      </c>
    </row>
    <row r="2116" spans="1:6" ht="12.75" x14ac:dyDescent="0.2">
      <c r="A2116" s="1">
        <v>88</v>
      </c>
      <c r="B2116" s="1">
        <v>1</v>
      </c>
      <c r="C2116" s="1" t="s">
        <v>8</v>
      </c>
      <c r="D2116" s="1" t="s">
        <v>6</v>
      </c>
      <c r="E2116" s="1">
        <v>0.46653032302856401</v>
      </c>
      <c r="F2116" s="1">
        <f>Tabla1[[#This Row],[tiempo]]/(IF(Tabla1[[#This Row],[tamanho]]=$I$3,$L$3,IF(Tabla1[[#This Row],[tamanho]]=$I$4,$L$4,IF(Tabla1[[#This Row],[tamanho]]=$I$5,$L$5,IF(Tabla1[[#This Row],[tamanho]]=$I$6,$L$6,0))))*IF(C2116="8_1",9,25))</f>
        <v>6.9215581473767891E-7</v>
      </c>
    </row>
    <row r="2117" spans="1:6" ht="12.75" x14ac:dyDescent="0.2">
      <c r="A2117" s="1">
        <v>88</v>
      </c>
      <c r="B2117" s="1">
        <v>1</v>
      </c>
      <c r="C2117" s="1" t="s">
        <v>5</v>
      </c>
      <c r="D2117" s="1" t="s">
        <v>9</v>
      </c>
      <c r="E2117" s="1">
        <v>0.41141057014465299</v>
      </c>
      <c r="F2117" s="1">
        <f>Tabla1[[#This Row],[tiempo]]/(IF(Tabla1[[#This Row],[tamanho]]=$I$3,$L$3,IF(Tabla1[[#This Row],[tamanho]]=$I$4,$L$4,IF(Tabla1[[#This Row],[tamanho]]=$I$5,$L$5,IF(Tabla1[[#This Row],[tamanho]]=$I$6,$L$6,0))))*IF(C2117="8_1",9,25))</f>
        <v>1.6954966645016174E-6</v>
      </c>
    </row>
    <row r="2118" spans="1:6" ht="12.75" x14ac:dyDescent="0.2">
      <c r="A2118" s="1">
        <v>88</v>
      </c>
      <c r="B2118" s="1">
        <v>1</v>
      </c>
      <c r="C2118" s="1" t="s">
        <v>7</v>
      </c>
      <c r="D2118" s="1" t="s">
        <v>9</v>
      </c>
      <c r="E2118" s="1">
        <v>0.46459364891052202</v>
      </c>
      <c r="F2118" s="1">
        <f>Tabla1[[#This Row],[tiempo]]/(IF(Tabla1[[#This Row],[tamanho]]=$I$3,$L$3,IF(Tabla1[[#This Row],[tamanho]]=$I$4,$L$4,IF(Tabla1[[#This Row],[tamanho]]=$I$5,$L$5,IF(Tabla1[[#This Row],[tamanho]]=$I$6,$L$6,0))))*IF(C2118="8_1",9,25))</f>
        <v>6.8928251757801572E-7</v>
      </c>
    </row>
    <row r="2119" spans="1:6" ht="12.75" x14ac:dyDescent="0.2">
      <c r="A2119" s="1">
        <v>88</v>
      </c>
      <c r="B2119" s="1">
        <v>1</v>
      </c>
      <c r="C2119" s="1" t="s">
        <v>8</v>
      </c>
      <c r="D2119" s="1" t="s">
        <v>9</v>
      </c>
      <c r="E2119" s="1">
        <v>0.46970224380493097</v>
      </c>
      <c r="F2119" s="1">
        <f>Tabla1[[#This Row],[tiempo]]/(IF(Tabla1[[#This Row],[tamanho]]=$I$3,$L$3,IF(Tabla1[[#This Row],[tamanho]]=$I$4,$L$4,IF(Tabla1[[#This Row],[tamanho]]=$I$5,$L$5,IF(Tabla1[[#This Row],[tamanho]]=$I$6,$L$6,0))))*IF(C2119="8_1",9,25))</f>
        <v>6.9686175409655574E-7</v>
      </c>
    </row>
    <row r="2120" spans="1:6" ht="12.75" x14ac:dyDescent="0.2">
      <c r="A2120" s="1">
        <v>88</v>
      </c>
      <c r="B2120" s="1">
        <v>2</v>
      </c>
      <c r="C2120" s="1" t="s">
        <v>5</v>
      </c>
      <c r="D2120" s="1" t="s">
        <v>6</v>
      </c>
      <c r="E2120" s="1">
        <v>1.69890809059143</v>
      </c>
      <c r="F2120" s="1">
        <f>Tabla1[[#This Row],[tiempo]]/(IF(Tabla1[[#This Row],[tamanho]]=$I$3,$L$3,IF(Tabla1[[#This Row],[tamanho]]=$I$4,$L$4,IF(Tabla1[[#This Row],[tamanho]]=$I$5,$L$5,IF(Tabla1[[#This Row],[tamanho]]=$I$6,$L$6,0))))*IF(C2120="8_1",9,25))</f>
        <v>1.0285827618556359E-6</v>
      </c>
    </row>
    <row r="2121" spans="1:6" ht="12.75" x14ac:dyDescent="0.2">
      <c r="A2121" s="1">
        <v>88</v>
      </c>
      <c r="B2121" s="1">
        <v>2</v>
      </c>
      <c r="C2121" s="1" t="s">
        <v>7</v>
      </c>
      <c r="D2121" s="1" t="s">
        <v>6</v>
      </c>
      <c r="E2121" s="1">
        <v>1.9070782661437899</v>
      </c>
      <c r="F2121" s="1">
        <f>Tabla1[[#This Row],[tiempo]]/(IF(Tabla1[[#This Row],[tamanho]]=$I$3,$L$3,IF(Tabla1[[#This Row],[tamanho]]=$I$4,$L$4,IF(Tabla1[[#This Row],[tamanho]]=$I$5,$L$5,IF(Tabla1[[#This Row],[tamanho]]=$I$6,$L$6,0))))*IF(C2121="8_1",9,25))</f>
        <v>4.1566204948590143E-7</v>
      </c>
    </row>
    <row r="2122" spans="1:6" ht="12.75" x14ac:dyDescent="0.2">
      <c r="A2122" s="1">
        <v>88</v>
      </c>
      <c r="B2122" s="1">
        <v>2</v>
      </c>
      <c r="C2122" s="1" t="s">
        <v>8</v>
      </c>
      <c r="D2122" s="1" t="s">
        <v>6</v>
      </c>
      <c r="E2122" s="1">
        <v>1.9067425727844201</v>
      </c>
      <c r="F2122" s="1">
        <f>Tabla1[[#This Row],[tiempo]]/(IF(Tabla1[[#This Row],[tamanho]]=$I$3,$L$3,IF(Tabla1[[#This Row],[tamanho]]=$I$4,$L$4,IF(Tabla1[[#This Row],[tamanho]]=$I$5,$L$5,IF(Tabla1[[#This Row],[tamanho]]=$I$6,$L$6,0))))*IF(C2122="8_1",9,25))</f>
        <v>4.1558888259378603E-7</v>
      </c>
    </row>
    <row r="2123" spans="1:6" ht="12.75" x14ac:dyDescent="0.2">
      <c r="A2123" s="1">
        <v>88</v>
      </c>
      <c r="B2123" s="1">
        <v>2</v>
      </c>
      <c r="C2123" s="1" t="s">
        <v>5</v>
      </c>
      <c r="D2123" s="1" t="s">
        <v>9</v>
      </c>
      <c r="E2123" s="1">
        <v>1.69496393203735</v>
      </c>
      <c r="F2123" s="1">
        <f>Tabla1[[#This Row],[tiempo]]/(IF(Tabla1[[#This Row],[tamanho]]=$I$3,$L$3,IF(Tabla1[[#This Row],[tamanho]]=$I$4,$L$4,IF(Tabla1[[#This Row],[tamanho]]=$I$5,$L$5,IF(Tabla1[[#This Row],[tamanho]]=$I$6,$L$6,0))))*IF(C2123="8_1",9,25))</f>
        <v>1.0261948201410609E-6</v>
      </c>
    </row>
    <row r="2124" spans="1:6" ht="12.75" x14ac:dyDescent="0.2">
      <c r="A2124" s="1">
        <v>88</v>
      </c>
      <c r="B2124" s="1">
        <v>2</v>
      </c>
      <c r="C2124" s="1" t="s">
        <v>7</v>
      </c>
      <c r="D2124" s="1" t="s">
        <v>9</v>
      </c>
      <c r="E2124" s="1">
        <v>1.9081585407257</v>
      </c>
      <c r="F2124" s="1">
        <f>Tabla1[[#This Row],[tiempo]]/(IF(Tabla1[[#This Row],[tamanho]]=$I$3,$L$3,IF(Tabla1[[#This Row],[tamanho]]=$I$4,$L$4,IF(Tabla1[[#This Row],[tamanho]]=$I$5,$L$5,IF(Tabla1[[#This Row],[tamanho]]=$I$6,$L$6,0))))*IF(C2124="8_1",9,25))</f>
        <v>4.1589750345477925E-7</v>
      </c>
    </row>
    <row r="2125" spans="1:6" ht="12.75" x14ac:dyDescent="0.2">
      <c r="A2125" s="1">
        <v>88</v>
      </c>
      <c r="B2125" s="1">
        <v>2</v>
      </c>
      <c r="C2125" s="1" t="s">
        <v>8</v>
      </c>
      <c r="D2125" s="1" t="s">
        <v>9</v>
      </c>
      <c r="E2125" s="1">
        <v>1.92767977714538</v>
      </c>
      <c r="F2125" s="1">
        <f>Tabla1[[#This Row],[tiempo]]/(IF(Tabla1[[#This Row],[tamanho]]=$I$3,$L$3,IF(Tabla1[[#This Row],[tamanho]]=$I$4,$L$4,IF(Tabla1[[#This Row],[tamanho]]=$I$5,$L$5,IF(Tabla1[[#This Row],[tamanho]]=$I$6,$L$6,0))))*IF(C2125="8_1",9,25))</f>
        <v>4.2015230373369512E-7</v>
      </c>
    </row>
    <row r="2126" spans="1:6" ht="12.75" x14ac:dyDescent="0.2">
      <c r="A2126" s="1">
        <v>88</v>
      </c>
      <c r="B2126" s="1">
        <v>3</v>
      </c>
      <c r="C2126" s="1" t="s">
        <v>5</v>
      </c>
      <c r="D2126" s="1" t="s">
        <v>6</v>
      </c>
      <c r="E2126" s="1">
        <v>3.8501045703887899</v>
      </c>
      <c r="F2126" s="1">
        <f>Tabla1[[#This Row],[tiempo]]/(IF(Tabla1[[#This Row],[tamanho]]=$I$3,$L$3,IF(Tabla1[[#This Row],[tamanho]]=$I$4,$L$4,IF(Tabla1[[#This Row],[tamanho]]=$I$5,$L$5,IF(Tabla1[[#This Row],[tamanho]]=$I$6,$L$6,0))))*IF(C2126="8_1",9,25))</f>
        <v>1.0351755382534804E-6</v>
      </c>
    </row>
    <row r="2127" spans="1:6" ht="12.75" x14ac:dyDescent="0.2">
      <c r="A2127" s="1">
        <v>88</v>
      </c>
      <c r="B2127" s="1">
        <v>3</v>
      </c>
      <c r="C2127" s="1" t="s">
        <v>7</v>
      </c>
      <c r="D2127" s="1" t="s">
        <v>6</v>
      </c>
      <c r="E2127" s="1">
        <v>4.3167412281036297</v>
      </c>
      <c r="F2127" s="1">
        <f>Tabla1[[#This Row],[tiempo]]/(IF(Tabla1[[#This Row],[tamanho]]=$I$3,$L$3,IF(Tabla1[[#This Row],[tamanho]]=$I$4,$L$4,IF(Tabla1[[#This Row],[tamanho]]=$I$5,$L$5,IF(Tabla1[[#This Row],[tamanho]]=$I$6,$L$6,0))))*IF(C2127="8_1",9,25))</f>
        <v>4.1783035845872912E-7</v>
      </c>
    </row>
    <row r="2128" spans="1:6" ht="12.75" x14ac:dyDescent="0.2">
      <c r="A2128" s="1">
        <v>88</v>
      </c>
      <c r="B2128" s="1">
        <v>3</v>
      </c>
      <c r="C2128" s="1" t="s">
        <v>8</v>
      </c>
      <c r="D2128" s="1" t="s">
        <v>6</v>
      </c>
      <c r="E2128" s="1">
        <v>4.3265323638915998</v>
      </c>
      <c r="F2128" s="1">
        <f>Tabla1[[#This Row],[tiempo]]/(IF(Tabla1[[#This Row],[tamanho]]=$I$3,$L$3,IF(Tabla1[[#This Row],[tamanho]]=$I$4,$L$4,IF(Tabla1[[#This Row],[tamanho]]=$I$5,$L$5,IF(Tabla1[[#This Row],[tamanho]]=$I$6,$L$6,0))))*IF(C2128="8_1",9,25))</f>
        <v>4.1877807192122984E-7</v>
      </c>
    </row>
    <row r="2129" spans="1:6" ht="12.75" x14ac:dyDescent="0.2">
      <c r="A2129" s="1">
        <v>88</v>
      </c>
      <c r="B2129" s="1">
        <v>3</v>
      </c>
      <c r="C2129" s="1" t="s">
        <v>5</v>
      </c>
      <c r="D2129" s="1" t="s">
        <v>9</v>
      </c>
      <c r="E2129" s="1">
        <v>3.8635993003845202</v>
      </c>
      <c r="F2129" s="1">
        <f>Tabla1[[#This Row],[tiempo]]/(IF(Tabla1[[#This Row],[tamanho]]=$I$3,$L$3,IF(Tabla1[[#This Row],[tamanho]]=$I$4,$L$4,IF(Tabla1[[#This Row],[tamanho]]=$I$5,$L$5,IF(Tabla1[[#This Row],[tamanho]]=$I$6,$L$6,0))))*IF(C2129="8_1",9,25))</f>
        <v>1.0388038590254288E-6</v>
      </c>
    </row>
    <row r="2130" spans="1:6" ht="12.75" x14ac:dyDescent="0.2">
      <c r="A2130" s="1">
        <v>88</v>
      </c>
      <c r="B2130" s="1">
        <v>3</v>
      </c>
      <c r="C2130" s="1" t="s">
        <v>7</v>
      </c>
      <c r="D2130" s="1" t="s">
        <v>9</v>
      </c>
      <c r="E2130" s="1">
        <v>4.3315355777740399</v>
      </c>
      <c r="F2130" s="1">
        <f>Tabla1[[#This Row],[tiempo]]/(IF(Tabla1[[#This Row],[tamanho]]=$I$3,$L$3,IF(Tabla1[[#This Row],[tamanho]]=$I$4,$L$4,IF(Tabla1[[#This Row],[tamanho]]=$I$5,$L$5,IF(Tabla1[[#This Row],[tamanho]]=$I$6,$L$6,0))))*IF(C2130="8_1",9,25))</f>
        <v>4.1926234803125833E-7</v>
      </c>
    </row>
    <row r="2131" spans="1:6" ht="12.75" x14ac:dyDescent="0.2">
      <c r="A2131" s="1">
        <v>88</v>
      </c>
      <c r="B2131" s="1">
        <v>3</v>
      </c>
      <c r="C2131" s="1" t="s">
        <v>8</v>
      </c>
      <c r="D2131" s="1" t="s">
        <v>9</v>
      </c>
      <c r="E2131" s="1">
        <v>4.3810353279113698</v>
      </c>
      <c r="F2131" s="1">
        <f>Tabla1[[#This Row],[tiempo]]/(IF(Tabla1[[#This Row],[tamanho]]=$I$3,$L$3,IF(Tabla1[[#This Row],[tamanho]]=$I$4,$L$4,IF(Tabla1[[#This Row],[tamanho]]=$I$5,$L$5,IF(Tabla1[[#This Row],[tamanho]]=$I$6,$L$6,0))))*IF(C2131="8_1",9,25))</f>
        <v>4.2405357763030103E-7</v>
      </c>
    </row>
    <row r="2132" spans="1:6" ht="12.75" x14ac:dyDescent="0.2">
      <c r="A2132" s="1">
        <v>88</v>
      </c>
      <c r="B2132" s="1">
        <v>4</v>
      </c>
      <c r="C2132" s="1" t="s">
        <v>5</v>
      </c>
      <c r="D2132" s="1" t="s">
        <v>6</v>
      </c>
      <c r="E2132" s="1">
        <v>6.8775043487548801</v>
      </c>
      <c r="F2132" s="1">
        <f>Tabla1[[#This Row],[tiempo]]/(IF(Tabla1[[#This Row],[tamanho]]=$I$3,$L$3,IF(Tabla1[[#This Row],[tamanho]]=$I$4,$L$4,IF(Tabla1[[#This Row],[tamanho]]=$I$5,$L$5,IF(Tabla1[[#This Row],[tamanho]]=$I$6,$L$6,0))))*IF(C2132="8_1",9,25))</f>
        <v>1.0385485651208997E-6</v>
      </c>
    </row>
    <row r="2133" spans="1:6" ht="12.75" x14ac:dyDescent="0.2">
      <c r="A2133" s="1">
        <v>88</v>
      </c>
      <c r="B2133" s="1">
        <v>4</v>
      </c>
      <c r="C2133" s="1" t="s">
        <v>7</v>
      </c>
      <c r="D2133" s="1" t="s">
        <v>6</v>
      </c>
      <c r="E2133" s="1">
        <v>7.7229626178741402</v>
      </c>
      <c r="F2133" s="1">
        <f>Tabla1[[#This Row],[tiempo]]/(IF(Tabla1[[#This Row],[tamanho]]=$I$3,$L$3,IF(Tabla1[[#This Row],[tamanho]]=$I$4,$L$4,IF(Tabla1[[#This Row],[tamanho]]=$I$5,$L$5,IF(Tabla1[[#This Row],[tamanho]]=$I$6,$L$6,0))))*IF(C2133="8_1",9,25))</f>
        <v>4.1983860451094329E-7</v>
      </c>
    </row>
    <row r="2134" spans="1:6" ht="12.75" x14ac:dyDescent="0.2">
      <c r="A2134" s="1">
        <v>88</v>
      </c>
      <c r="B2134" s="1">
        <v>4</v>
      </c>
      <c r="C2134" s="1" t="s">
        <v>8</v>
      </c>
      <c r="D2134" s="1" t="s">
        <v>6</v>
      </c>
      <c r="E2134" s="1">
        <v>7.7084865570068297</v>
      </c>
      <c r="F2134" s="1">
        <f>Tabla1[[#This Row],[tiempo]]/(IF(Tabla1[[#This Row],[tamanho]]=$I$3,$L$3,IF(Tabla1[[#This Row],[tamanho]]=$I$4,$L$4,IF(Tabla1[[#This Row],[tamanho]]=$I$5,$L$5,IF(Tabla1[[#This Row],[tamanho]]=$I$6,$L$6,0))))*IF(C2134="8_1",9,25))</f>
        <v>4.1905165143424694E-7</v>
      </c>
    </row>
    <row r="2135" spans="1:6" ht="12.75" x14ac:dyDescent="0.2">
      <c r="A2135" s="1">
        <v>88</v>
      </c>
      <c r="B2135" s="1">
        <v>4</v>
      </c>
      <c r="C2135" s="1" t="s">
        <v>5</v>
      </c>
      <c r="D2135" s="1" t="s">
        <v>9</v>
      </c>
      <c r="E2135" s="1">
        <v>6.8831570148468</v>
      </c>
      <c r="F2135" s="1">
        <f>Tabla1[[#This Row],[tiempo]]/(IF(Tabla1[[#This Row],[tamanho]]=$I$3,$L$3,IF(Tabla1[[#This Row],[tamanho]]=$I$4,$L$4,IF(Tabla1[[#This Row],[tamanho]]=$I$5,$L$5,IF(Tabla1[[#This Row],[tamanho]]=$I$6,$L$6,0))))*IF(C2135="8_1",9,25))</f>
        <v>1.0394021550222908E-6</v>
      </c>
    </row>
    <row r="2136" spans="1:6" ht="12.75" x14ac:dyDescent="0.2">
      <c r="A2136" s="1">
        <v>88</v>
      </c>
      <c r="B2136" s="1">
        <v>4</v>
      </c>
      <c r="C2136" s="1" t="s">
        <v>7</v>
      </c>
      <c r="D2136" s="1" t="s">
        <v>9</v>
      </c>
      <c r="E2136" s="1">
        <v>7.7343177795410103</v>
      </c>
      <c r="F2136" s="1">
        <f>Tabla1[[#This Row],[tiempo]]/(IF(Tabla1[[#This Row],[tamanho]]=$I$3,$L$3,IF(Tabla1[[#This Row],[tamanho]]=$I$4,$L$4,IF(Tabla1[[#This Row],[tamanho]]=$I$5,$L$5,IF(Tabla1[[#This Row],[tamanho]]=$I$6,$L$6,0))))*IF(C2136="8_1",9,25))</f>
        <v>4.2045589808908149E-7</v>
      </c>
    </row>
    <row r="2137" spans="1:6" ht="12.75" x14ac:dyDescent="0.2">
      <c r="A2137" s="1">
        <v>88</v>
      </c>
      <c r="B2137" s="1">
        <v>4</v>
      </c>
      <c r="C2137" s="1" t="s">
        <v>8</v>
      </c>
      <c r="D2137" s="1" t="s">
        <v>9</v>
      </c>
      <c r="E2137" s="1">
        <v>7.8010261058807302</v>
      </c>
      <c r="F2137" s="1">
        <f>Tabla1[[#This Row],[tiempo]]/(IF(Tabla1[[#This Row],[tamanho]]=$I$3,$L$3,IF(Tabla1[[#This Row],[tamanho]]=$I$4,$L$4,IF(Tabla1[[#This Row],[tamanho]]=$I$5,$L$5,IF(Tabla1[[#This Row],[tamanho]]=$I$6,$L$6,0))))*IF(C2137="8_1",9,25))</f>
        <v>4.2408232126700927E-7</v>
      </c>
    </row>
    <row r="2138" spans="1:6" ht="12.75" x14ac:dyDescent="0.2">
      <c r="A2138" s="1">
        <v>89</v>
      </c>
      <c r="B2138" s="1">
        <v>1</v>
      </c>
      <c r="C2138" s="1" t="s">
        <v>5</v>
      </c>
      <c r="D2138" s="1" t="s">
        <v>6</v>
      </c>
      <c r="E2138" s="1">
        <v>0.41102838516235302</v>
      </c>
      <c r="F2138" s="1">
        <f>Tabla1[[#This Row],[tiempo]]/(IF(Tabla1[[#This Row],[tamanho]]=$I$3,$L$3,IF(Tabla1[[#This Row],[tamanho]]=$I$4,$L$4,IF(Tabla1[[#This Row],[tamanho]]=$I$5,$L$5,IF(Tabla1[[#This Row],[tamanho]]=$I$6,$L$6,0))))*IF(C2138="8_1",9,25))</f>
        <v>1.6939216117204398E-6</v>
      </c>
    </row>
    <row r="2139" spans="1:6" ht="12.75" x14ac:dyDescent="0.2">
      <c r="A2139" s="1">
        <v>89</v>
      </c>
      <c r="B2139" s="1">
        <v>1</v>
      </c>
      <c r="C2139" s="1" t="s">
        <v>7</v>
      </c>
      <c r="D2139" s="1" t="s">
        <v>6</v>
      </c>
      <c r="E2139" s="1">
        <v>0.46113061904907199</v>
      </c>
      <c r="F2139" s="1">
        <f>Tabla1[[#This Row],[tiempo]]/(IF(Tabla1[[#This Row],[tamanho]]=$I$3,$L$3,IF(Tabla1[[#This Row],[tamanho]]=$I$4,$L$4,IF(Tabla1[[#This Row],[tamanho]]=$I$5,$L$5,IF(Tabla1[[#This Row],[tamanho]]=$I$6,$L$6,0))))*IF(C2139="8_1",9,25))</f>
        <v>6.8414468164989728E-7</v>
      </c>
    </row>
    <row r="2140" spans="1:6" ht="12.75" x14ac:dyDescent="0.2">
      <c r="A2140" s="1">
        <v>89</v>
      </c>
      <c r="B2140" s="1">
        <v>1</v>
      </c>
      <c r="C2140" s="1" t="s">
        <v>8</v>
      </c>
      <c r="D2140" s="1" t="s">
        <v>6</v>
      </c>
      <c r="E2140" s="1">
        <v>0.46708488464355402</v>
      </c>
      <c r="F2140" s="1">
        <f>Tabla1[[#This Row],[tiempo]]/(IF(Tabla1[[#This Row],[tamanho]]=$I$3,$L$3,IF(Tabla1[[#This Row],[tamanho]]=$I$4,$L$4,IF(Tabla1[[#This Row],[tamanho]]=$I$5,$L$5,IF(Tabla1[[#This Row],[tamanho]]=$I$6,$L$6,0))))*IF(C2140="8_1",9,25))</f>
        <v>6.9297857593346543E-7</v>
      </c>
    </row>
    <row r="2141" spans="1:6" ht="12.75" x14ac:dyDescent="0.2">
      <c r="A2141" s="1">
        <v>89</v>
      </c>
      <c r="B2141" s="1">
        <v>1</v>
      </c>
      <c r="C2141" s="1" t="s">
        <v>5</v>
      </c>
      <c r="D2141" s="1" t="s">
        <v>9</v>
      </c>
      <c r="E2141" s="1">
        <v>0.411225795745849</v>
      </c>
      <c r="F2141" s="1">
        <f>Tabla1[[#This Row],[tiempo]]/(IF(Tabla1[[#This Row],[tamanho]]=$I$3,$L$3,IF(Tabla1[[#This Row],[tamanho]]=$I$4,$L$4,IF(Tabla1[[#This Row],[tamanho]]=$I$5,$L$5,IF(Tabla1[[#This Row],[tamanho]]=$I$6,$L$6,0))))*IF(C2141="8_1",9,25))</f>
        <v>1.694735176101484E-6</v>
      </c>
    </row>
    <row r="2142" spans="1:6" ht="12.75" x14ac:dyDescent="0.2">
      <c r="A2142" s="1">
        <v>89</v>
      </c>
      <c r="B2142" s="1">
        <v>1</v>
      </c>
      <c r="C2142" s="1" t="s">
        <v>7</v>
      </c>
      <c r="D2142" s="1" t="s">
        <v>9</v>
      </c>
      <c r="E2142" s="1">
        <v>0.46139574050903298</v>
      </c>
      <c r="F2142" s="1">
        <f>Tabla1[[#This Row],[tiempo]]/(IF(Tabla1[[#This Row],[tamanho]]=$I$3,$L$3,IF(Tabla1[[#This Row],[tamanho]]=$I$4,$L$4,IF(Tabla1[[#This Row],[tamanho]]=$I$5,$L$5,IF(Tabla1[[#This Row],[tamanho]]=$I$6,$L$6,0))))*IF(C2142="8_1",9,25))</f>
        <v>6.845380223419502E-7</v>
      </c>
    </row>
    <row r="2143" spans="1:6" ht="12.75" x14ac:dyDescent="0.2">
      <c r="A2143" s="1">
        <v>89</v>
      </c>
      <c r="B2143" s="1">
        <v>1</v>
      </c>
      <c r="C2143" s="1" t="s">
        <v>8</v>
      </c>
      <c r="D2143" s="1" t="s">
        <v>9</v>
      </c>
      <c r="E2143" s="1">
        <v>0.46816277503967202</v>
      </c>
      <c r="F2143" s="1">
        <f>Tabla1[[#This Row],[tiempo]]/(IF(Tabla1[[#This Row],[tamanho]]=$I$3,$L$3,IF(Tabla1[[#This Row],[tamanho]]=$I$4,$L$4,IF(Tabla1[[#This Row],[tamanho]]=$I$5,$L$5,IF(Tabla1[[#This Row],[tamanho]]=$I$6,$L$6,0))))*IF(C2143="8_1",9,25))</f>
        <v>6.9457776052768373E-7</v>
      </c>
    </row>
    <row r="2144" spans="1:6" ht="12.75" x14ac:dyDescent="0.2">
      <c r="A2144" s="1">
        <v>89</v>
      </c>
      <c r="B2144" s="1">
        <v>2</v>
      </c>
      <c r="C2144" s="1" t="s">
        <v>5</v>
      </c>
      <c r="D2144" s="1" t="s">
        <v>6</v>
      </c>
      <c r="E2144" s="1">
        <v>1.69408130645751</v>
      </c>
      <c r="F2144" s="1">
        <f>Tabla1[[#This Row],[tiempo]]/(IF(Tabla1[[#This Row],[tamanho]]=$I$3,$L$3,IF(Tabla1[[#This Row],[tamanho]]=$I$4,$L$4,IF(Tabla1[[#This Row],[tamanho]]=$I$5,$L$5,IF(Tabla1[[#This Row],[tamanho]]=$I$6,$L$6,0))))*IF(C2144="8_1",9,25))</f>
        <v>1.0256604454673373E-6</v>
      </c>
    </row>
    <row r="2145" spans="1:6" ht="12.75" x14ac:dyDescent="0.2">
      <c r="A2145" s="1">
        <v>89</v>
      </c>
      <c r="B2145" s="1">
        <v>2</v>
      </c>
      <c r="C2145" s="1" t="s">
        <v>7</v>
      </c>
      <c r="D2145" s="1" t="s">
        <v>6</v>
      </c>
      <c r="E2145" s="1">
        <v>1.9075682163238501</v>
      </c>
      <c r="F2145" s="1">
        <f>Tabla1[[#This Row],[tiempo]]/(IF(Tabla1[[#This Row],[tamanho]]=$I$3,$L$3,IF(Tabla1[[#This Row],[tamanho]]=$I$4,$L$4,IF(Tabla1[[#This Row],[tamanho]]=$I$5,$L$5,IF(Tabla1[[#This Row],[tamanho]]=$I$6,$L$6,0))))*IF(C2145="8_1",9,25))</f>
        <v>4.1576883781210977E-7</v>
      </c>
    </row>
    <row r="2146" spans="1:6" ht="12.75" x14ac:dyDescent="0.2">
      <c r="A2146" s="1">
        <v>89</v>
      </c>
      <c r="B2146" s="1">
        <v>2</v>
      </c>
      <c r="C2146" s="1" t="s">
        <v>8</v>
      </c>
      <c r="D2146" s="1" t="s">
        <v>6</v>
      </c>
      <c r="E2146" s="1">
        <v>1.9168772697448699</v>
      </c>
      <c r="F2146" s="1">
        <f>Tabla1[[#This Row],[tiempo]]/(IF(Tabla1[[#This Row],[tamanho]]=$I$3,$L$3,IF(Tabla1[[#This Row],[tamanho]]=$I$4,$L$4,IF(Tabla1[[#This Row],[tamanho]]=$I$5,$L$5,IF(Tabla1[[#This Row],[tamanho]]=$I$6,$L$6,0))))*IF(C2146="8_1",9,25))</f>
        <v>4.1779781601004127E-7</v>
      </c>
    </row>
    <row r="2147" spans="1:6" ht="12.75" x14ac:dyDescent="0.2">
      <c r="A2147" s="1">
        <v>89</v>
      </c>
      <c r="B2147" s="1">
        <v>2</v>
      </c>
      <c r="C2147" s="1" t="s">
        <v>5</v>
      </c>
      <c r="D2147" s="1" t="s">
        <v>9</v>
      </c>
      <c r="E2147" s="1">
        <v>1.7041707038879299</v>
      </c>
      <c r="F2147" s="1">
        <f>Tabla1[[#This Row],[tiempo]]/(IF(Tabla1[[#This Row],[tamanho]]=$I$3,$L$3,IF(Tabla1[[#This Row],[tamanho]]=$I$4,$L$4,IF(Tabla1[[#This Row],[tamanho]]=$I$5,$L$5,IF(Tabla1[[#This Row],[tamanho]]=$I$6,$L$6,0))))*IF(C2147="8_1",9,25))</f>
        <v>1.0317689455868627E-6</v>
      </c>
    </row>
    <row r="2148" spans="1:6" ht="12.75" x14ac:dyDescent="0.2">
      <c r="A2148" s="1">
        <v>89</v>
      </c>
      <c r="B2148" s="1">
        <v>2</v>
      </c>
      <c r="C2148" s="1" t="s">
        <v>7</v>
      </c>
      <c r="D2148" s="1" t="s">
        <v>9</v>
      </c>
      <c r="E2148" s="1">
        <v>1.9046928882598799</v>
      </c>
      <c r="F2148" s="1">
        <f>Tabla1[[#This Row],[tiempo]]/(IF(Tabla1[[#This Row],[tamanho]]=$I$3,$L$3,IF(Tabla1[[#This Row],[tamanho]]=$I$4,$L$4,IF(Tabla1[[#This Row],[tamanho]]=$I$5,$L$5,IF(Tabla1[[#This Row],[tamanho]]=$I$6,$L$6,0))))*IF(C2148="8_1",9,25))</f>
        <v>4.1514213843787228E-7</v>
      </c>
    </row>
    <row r="2149" spans="1:6" ht="12.75" x14ac:dyDescent="0.2">
      <c r="A2149" s="1">
        <v>89</v>
      </c>
      <c r="B2149" s="1">
        <v>2</v>
      </c>
      <c r="C2149" s="1" t="s">
        <v>8</v>
      </c>
      <c r="D2149" s="1" t="s">
        <v>9</v>
      </c>
      <c r="E2149" s="1">
        <v>1.9264595508575399</v>
      </c>
      <c r="F2149" s="1">
        <f>Tabla1[[#This Row],[tiempo]]/(IF(Tabla1[[#This Row],[tamanho]]=$I$3,$L$3,IF(Tabla1[[#This Row],[tamanho]]=$I$4,$L$4,IF(Tabla1[[#This Row],[tamanho]]=$I$5,$L$5,IF(Tabla1[[#This Row],[tamanho]]=$I$6,$L$6,0))))*IF(C2149="8_1",9,25))</f>
        <v>4.1988634623806191E-7</v>
      </c>
    </row>
    <row r="2150" spans="1:6" ht="12.75" x14ac:dyDescent="0.2">
      <c r="A2150" s="1">
        <v>89</v>
      </c>
      <c r="B2150" s="1">
        <v>3</v>
      </c>
      <c r="C2150" s="1" t="s">
        <v>5</v>
      </c>
      <c r="D2150" s="1" t="s">
        <v>6</v>
      </c>
      <c r="E2150" s="1">
        <v>3.8738756179809499</v>
      </c>
      <c r="F2150" s="1">
        <f>Tabla1[[#This Row],[tiempo]]/(IF(Tabla1[[#This Row],[tamanho]]=$I$3,$L$3,IF(Tabla1[[#This Row],[tamanho]]=$I$4,$L$4,IF(Tabla1[[#This Row],[tamanho]]=$I$5,$L$5,IF(Tabla1[[#This Row],[tamanho]]=$I$6,$L$6,0))))*IF(C2150="8_1",9,25))</f>
        <v>1.0415668469922918E-6</v>
      </c>
    </row>
    <row r="2151" spans="1:6" ht="12.75" x14ac:dyDescent="0.2">
      <c r="A2151" s="1">
        <v>89</v>
      </c>
      <c r="B2151" s="1">
        <v>3</v>
      </c>
      <c r="C2151" s="1" t="s">
        <v>7</v>
      </c>
      <c r="D2151" s="1" t="s">
        <v>6</v>
      </c>
      <c r="E2151" s="1">
        <v>4.3616783618927002</v>
      </c>
      <c r="F2151" s="1">
        <f>Tabla1[[#This Row],[tiempo]]/(IF(Tabla1[[#This Row],[tamanho]]=$I$3,$L$3,IF(Tabla1[[#This Row],[tamanho]]=$I$4,$L$4,IF(Tabla1[[#This Row],[tamanho]]=$I$5,$L$5,IF(Tabla1[[#This Row],[tamanho]]=$I$6,$L$6,0))))*IF(C2151="8_1",9,25))</f>
        <v>4.2217995870739718E-7</v>
      </c>
    </row>
    <row r="2152" spans="1:6" ht="12.75" x14ac:dyDescent="0.2">
      <c r="A2152" s="1">
        <v>89</v>
      </c>
      <c r="B2152" s="1">
        <v>3</v>
      </c>
      <c r="C2152" s="1" t="s">
        <v>8</v>
      </c>
      <c r="D2152" s="1" t="s">
        <v>6</v>
      </c>
      <c r="E2152" s="1">
        <v>4.3577625751495299</v>
      </c>
      <c r="F2152" s="1">
        <f>Tabla1[[#This Row],[tiempo]]/(IF(Tabla1[[#This Row],[tamanho]]=$I$3,$L$3,IF(Tabla1[[#This Row],[tamanho]]=$I$4,$L$4,IF(Tabla1[[#This Row],[tamanho]]=$I$5,$L$5,IF(Tabla1[[#This Row],[tamanho]]=$I$6,$L$6,0))))*IF(C2152="8_1",9,25))</f>
        <v>4.2180093793869905E-7</v>
      </c>
    </row>
    <row r="2153" spans="1:6" ht="12.75" x14ac:dyDescent="0.2">
      <c r="A2153" s="1">
        <v>89</v>
      </c>
      <c r="B2153" s="1">
        <v>3</v>
      </c>
      <c r="C2153" s="1" t="s">
        <v>5</v>
      </c>
      <c r="D2153" s="1" t="s">
        <v>9</v>
      </c>
      <c r="E2153" s="1">
        <v>3.8781974315643302</v>
      </c>
      <c r="F2153" s="1">
        <f>Tabla1[[#This Row],[tiempo]]/(IF(Tabla1[[#This Row],[tamanho]]=$I$3,$L$3,IF(Tabla1[[#This Row],[tamanho]]=$I$4,$L$4,IF(Tabla1[[#This Row],[tamanho]]=$I$5,$L$5,IF(Tabla1[[#This Row],[tamanho]]=$I$6,$L$6,0))))*IF(C2153="8_1",9,25))</f>
        <v>1.0427288506783254E-6</v>
      </c>
    </row>
    <row r="2154" spans="1:6" ht="12.75" x14ac:dyDescent="0.2">
      <c r="A2154" s="1">
        <v>89</v>
      </c>
      <c r="B2154" s="1">
        <v>3</v>
      </c>
      <c r="C2154" s="1" t="s">
        <v>7</v>
      </c>
      <c r="D2154" s="1" t="s">
        <v>9</v>
      </c>
      <c r="E2154" s="1">
        <v>4.3392782211303702</v>
      </c>
      <c r="F2154" s="1">
        <f>Tabla1[[#This Row],[tiempo]]/(IF(Tabla1[[#This Row],[tamanho]]=$I$3,$L$3,IF(Tabla1[[#This Row],[tamanho]]=$I$4,$L$4,IF(Tabla1[[#This Row],[tamanho]]=$I$5,$L$5,IF(Tabla1[[#This Row],[tamanho]]=$I$6,$L$6,0))))*IF(C2154="8_1",9,25))</f>
        <v>4.200117817540703E-7</v>
      </c>
    </row>
    <row r="2155" spans="1:6" ht="12.75" x14ac:dyDescent="0.2">
      <c r="A2155" s="1">
        <v>89</v>
      </c>
      <c r="B2155" s="1">
        <v>3</v>
      </c>
      <c r="C2155" s="1" t="s">
        <v>8</v>
      </c>
      <c r="D2155" s="1" t="s">
        <v>9</v>
      </c>
      <c r="E2155" s="1">
        <v>4.3853352069854701</v>
      </c>
      <c r="F2155" s="1">
        <f>Tabla1[[#This Row],[tiempo]]/(IF(Tabla1[[#This Row],[tamanho]]=$I$3,$L$3,IF(Tabla1[[#This Row],[tamanho]]=$I$4,$L$4,IF(Tabla1[[#This Row],[tamanho]]=$I$5,$L$5,IF(Tabla1[[#This Row],[tamanho]]=$I$6,$L$6,0))))*IF(C2155="8_1",9,25))</f>
        <v>4.2446977585019055E-7</v>
      </c>
    </row>
    <row r="2156" spans="1:6" ht="12.75" x14ac:dyDescent="0.2">
      <c r="A2156" s="1">
        <v>89</v>
      </c>
      <c r="B2156" s="1">
        <v>4</v>
      </c>
      <c r="C2156" s="1" t="s">
        <v>5</v>
      </c>
      <c r="D2156" s="1" t="s">
        <v>6</v>
      </c>
      <c r="E2156" s="1">
        <v>6.8774011135101301</v>
      </c>
      <c r="F2156" s="1">
        <f>Tabla1[[#This Row],[tiempo]]/(IF(Tabla1[[#This Row],[tamanho]]=$I$3,$L$3,IF(Tabla1[[#This Row],[tamanho]]=$I$4,$L$4,IF(Tabla1[[#This Row],[tamanho]]=$I$5,$L$5,IF(Tabla1[[#This Row],[tamanho]]=$I$6,$L$6,0))))*IF(C2156="8_1",9,25))</f>
        <v>1.0385329759173356E-6</v>
      </c>
    </row>
    <row r="2157" spans="1:6" ht="12.75" x14ac:dyDescent="0.2">
      <c r="A2157" s="1">
        <v>89</v>
      </c>
      <c r="B2157" s="1">
        <v>4</v>
      </c>
      <c r="C2157" s="1" t="s">
        <v>7</v>
      </c>
      <c r="D2157" s="1" t="s">
        <v>6</v>
      </c>
      <c r="E2157" s="1">
        <v>7.7430856227874703</v>
      </c>
      <c r="F2157" s="1">
        <f>Tabla1[[#This Row],[tiempo]]/(IF(Tabla1[[#This Row],[tamanho]]=$I$3,$L$3,IF(Tabla1[[#This Row],[tamanho]]=$I$4,$L$4,IF(Tabla1[[#This Row],[tamanho]]=$I$5,$L$5,IF(Tabla1[[#This Row],[tamanho]]=$I$6,$L$6,0))))*IF(C2157="8_1",9,25))</f>
        <v>4.2093253888812468E-7</v>
      </c>
    </row>
    <row r="2158" spans="1:6" ht="12.75" x14ac:dyDescent="0.2">
      <c r="A2158" s="1">
        <v>89</v>
      </c>
      <c r="B2158" s="1">
        <v>4</v>
      </c>
      <c r="C2158" s="1" t="s">
        <v>8</v>
      </c>
      <c r="D2158" s="1" t="s">
        <v>6</v>
      </c>
      <c r="E2158" s="1">
        <v>7.7579188346862704</v>
      </c>
      <c r="F2158" s="1">
        <f>Tabla1[[#This Row],[tiempo]]/(IF(Tabla1[[#This Row],[tamanho]]=$I$3,$L$3,IF(Tabla1[[#This Row],[tamanho]]=$I$4,$L$4,IF(Tabla1[[#This Row],[tamanho]]=$I$5,$L$5,IF(Tabla1[[#This Row],[tamanho]]=$I$6,$L$6,0))))*IF(C2158="8_1",9,25))</f>
        <v>4.217389075438002E-7</v>
      </c>
    </row>
    <row r="2159" spans="1:6" ht="12.75" x14ac:dyDescent="0.2">
      <c r="A2159" s="1">
        <v>89</v>
      </c>
      <c r="B2159" s="1">
        <v>4</v>
      </c>
      <c r="C2159" s="1" t="s">
        <v>5</v>
      </c>
      <c r="D2159" s="1" t="s">
        <v>9</v>
      </c>
      <c r="E2159" s="1">
        <v>6.91165971755981</v>
      </c>
      <c r="F2159" s="1">
        <f>Tabla1[[#This Row],[tiempo]]/(IF(Tabla1[[#This Row],[tamanho]]=$I$3,$L$3,IF(Tabla1[[#This Row],[tamanho]]=$I$4,$L$4,IF(Tabla1[[#This Row],[tamanho]]=$I$5,$L$5,IF(Tabla1[[#This Row],[tamanho]]=$I$6,$L$6,0))))*IF(C2159="8_1",9,25))</f>
        <v>1.0437062513199578E-6</v>
      </c>
    </row>
    <row r="2160" spans="1:6" ht="12.75" x14ac:dyDescent="0.2">
      <c r="A2160" s="1">
        <v>89</v>
      </c>
      <c r="B2160" s="1">
        <v>4</v>
      </c>
      <c r="C2160" s="1" t="s">
        <v>7</v>
      </c>
      <c r="D2160" s="1" t="s">
        <v>9</v>
      </c>
      <c r="E2160" s="1">
        <v>7.6989843845367396</v>
      </c>
      <c r="F2160" s="1">
        <f>Tabla1[[#This Row],[tiempo]]/(IF(Tabla1[[#This Row],[tamanho]]=$I$3,$L$3,IF(Tabla1[[#This Row],[tamanho]]=$I$4,$L$4,IF(Tabla1[[#This Row],[tamanho]]=$I$5,$L$5,IF(Tabla1[[#This Row],[tamanho]]=$I$6,$L$6,0))))*IF(C2160="8_1",9,25))</f>
        <v>4.1853509075319018E-7</v>
      </c>
    </row>
    <row r="2161" spans="1:6" ht="12.75" x14ac:dyDescent="0.2">
      <c r="A2161" s="1">
        <v>89</v>
      </c>
      <c r="B2161" s="1">
        <v>4</v>
      </c>
      <c r="C2161" s="1" t="s">
        <v>8</v>
      </c>
      <c r="D2161" s="1" t="s">
        <v>9</v>
      </c>
      <c r="E2161" s="1">
        <v>7.8371741771697998</v>
      </c>
      <c r="F2161" s="1">
        <f>Tabla1[[#This Row],[tiempo]]/(IF(Tabla1[[#This Row],[tamanho]]=$I$3,$L$3,IF(Tabla1[[#This Row],[tamanho]]=$I$4,$L$4,IF(Tabla1[[#This Row],[tamanho]]=$I$5,$L$5,IF(Tabla1[[#This Row],[tamanho]]=$I$6,$L$6,0))))*IF(C2161="8_1",9,25))</f>
        <v>4.2604741634213506E-7</v>
      </c>
    </row>
    <row r="2162" spans="1:6" ht="12.75" x14ac:dyDescent="0.2">
      <c r="A2162" s="1">
        <v>90</v>
      </c>
      <c r="B2162" s="1">
        <v>1</v>
      </c>
      <c r="C2162" s="1" t="s">
        <v>5</v>
      </c>
      <c r="D2162" s="1" t="s">
        <v>6</v>
      </c>
      <c r="E2162" s="1">
        <v>0.40965867042541498</v>
      </c>
      <c r="F2162" s="1">
        <f>Tabla1[[#This Row],[tiempo]]/(IF(Tabla1[[#This Row],[tamanho]]=$I$3,$L$3,IF(Tabla1[[#This Row],[tamanho]]=$I$4,$L$4,IF(Tabla1[[#This Row],[tamanho]]=$I$5,$L$5,IF(Tabla1[[#This Row],[tamanho]]=$I$6,$L$6,0))))*IF(C2162="8_1",9,25))</f>
        <v>1.6882767719026865E-6</v>
      </c>
    </row>
    <row r="2163" spans="1:6" ht="12.75" x14ac:dyDescent="0.2">
      <c r="A2163" s="1">
        <v>90</v>
      </c>
      <c r="B2163" s="1">
        <v>1</v>
      </c>
      <c r="C2163" s="1" t="s">
        <v>7</v>
      </c>
      <c r="D2163" s="1" t="s">
        <v>6</v>
      </c>
      <c r="E2163" s="1">
        <v>0.46356725692749001</v>
      </c>
      <c r="F2163" s="1">
        <f>Tabla1[[#This Row],[tiempo]]/(IF(Tabla1[[#This Row],[tamanho]]=$I$3,$L$3,IF(Tabla1[[#This Row],[tamanho]]=$I$4,$L$4,IF(Tabla1[[#This Row],[tamanho]]=$I$5,$L$5,IF(Tabla1[[#This Row],[tamanho]]=$I$6,$L$6,0))))*IF(C2163="8_1",9,25))</f>
        <v>6.8775973729088685E-7</v>
      </c>
    </row>
    <row r="2164" spans="1:6" ht="12.75" x14ac:dyDescent="0.2">
      <c r="A2164" s="1">
        <v>90</v>
      </c>
      <c r="B2164" s="1">
        <v>1</v>
      </c>
      <c r="C2164" s="1" t="s">
        <v>8</v>
      </c>
      <c r="D2164" s="1" t="s">
        <v>6</v>
      </c>
      <c r="E2164" s="1">
        <v>0.46158194541931102</v>
      </c>
      <c r="F2164" s="1">
        <f>Tabla1[[#This Row],[tiempo]]/(IF(Tabla1[[#This Row],[tamanho]]=$I$3,$L$3,IF(Tabla1[[#This Row],[tamanho]]=$I$4,$L$4,IF(Tabla1[[#This Row],[tamanho]]=$I$5,$L$5,IF(Tabla1[[#This Row],[tamanho]]=$I$6,$L$6,0))))*IF(C2164="8_1",9,25))</f>
        <v>6.8481428050786107E-7</v>
      </c>
    </row>
    <row r="2165" spans="1:6" ht="12.75" x14ac:dyDescent="0.2">
      <c r="A2165" s="1">
        <v>90</v>
      </c>
      <c r="B2165" s="1">
        <v>1</v>
      </c>
      <c r="C2165" s="1" t="s">
        <v>5</v>
      </c>
      <c r="D2165" s="1" t="s">
        <v>9</v>
      </c>
      <c r="E2165" s="1">
        <v>0.411099433898925</v>
      </c>
      <c r="F2165" s="1">
        <f>Tabla1[[#This Row],[tiempo]]/(IF(Tabla1[[#This Row],[tamanho]]=$I$3,$L$3,IF(Tabla1[[#This Row],[tamanho]]=$I$4,$L$4,IF(Tabla1[[#This Row],[tamanho]]=$I$5,$L$5,IF(Tabla1[[#This Row],[tamanho]]=$I$6,$L$6,0))))*IF(C2165="8_1",9,25))</f>
        <v>1.6942144162923606E-6</v>
      </c>
    </row>
    <row r="2166" spans="1:6" ht="12.75" x14ac:dyDescent="0.2">
      <c r="A2166" s="1">
        <v>90</v>
      </c>
      <c r="B2166" s="1">
        <v>1</v>
      </c>
      <c r="C2166" s="1" t="s">
        <v>7</v>
      </c>
      <c r="D2166" s="1" t="s">
        <v>9</v>
      </c>
      <c r="E2166" s="1">
        <v>0.46309661865234297</v>
      </c>
      <c r="F2166" s="1">
        <f>Tabla1[[#This Row],[tiempo]]/(IF(Tabla1[[#This Row],[tamanho]]=$I$3,$L$3,IF(Tabla1[[#This Row],[tamanho]]=$I$4,$L$4,IF(Tabla1[[#This Row],[tamanho]]=$I$5,$L$5,IF(Tabla1[[#This Row],[tamanho]]=$I$6,$L$6,0))))*IF(C2166="8_1",9,25))</f>
        <v>6.8706148681776341E-7</v>
      </c>
    </row>
    <row r="2167" spans="1:6" ht="12.75" x14ac:dyDescent="0.2">
      <c r="A2167" s="1">
        <v>90</v>
      </c>
      <c r="B2167" s="1">
        <v>1</v>
      </c>
      <c r="C2167" s="1" t="s">
        <v>8</v>
      </c>
      <c r="D2167" s="1" t="s">
        <v>9</v>
      </c>
      <c r="E2167" s="1">
        <v>0.46904301643371499</v>
      </c>
      <c r="F2167" s="1">
        <f>Tabla1[[#This Row],[tiempo]]/(IF(Tabla1[[#This Row],[tamanho]]=$I$3,$L$3,IF(Tabla1[[#This Row],[tamanho]]=$I$4,$L$4,IF(Tabla1[[#This Row],[tamanho]]=$I$5,$L$5,IF(Tabla1[[#This Row],[tamanho]]=$I$6,$L$6,0))))*IF(C2167="8_1",9,25))</f>
        <v>6.9588370822108233E-7</v>
      </c>
    </row>
    <row r="2168" spans="1:6" ht="12.75" x14ac:dyDescent="0.2">
      <c r="A2168" s="1">
        <v>90</v>
      </c>
      <c r="B2168" s="1">
        <v>2</v>
      </c>
      <c r="C2168" s="1" t="s">
        <v>5</v>
      </c>
      <c r="D2168" s="1" t="s">
        <v>6</v>
      </c>
      <c r="E2168" s="1">
        <v>1.6941239833831701</v>
      </c>
      <c r="F2168" s="1">
        <f>Tabla1[[#This Row],[tiempo]]/(IF(Tabla1[[#This Row],[tamanho]]=$I$3,$L$3,IF(Tabla1[[#This Row],[tamanho]]=$I$4,$L$4,IF(Tabla1[[#This Row],[tamanho]]=$I$5,$L$5,IF(Tabla1[[#This Row],[tamanho]]=$I$6,$L$6,0))))*IF(C2168="8_1",9,25))</f>
        <v>1.0256862836808968E-6</v>
      </c>
    </row>
    <row r="2169" spans="1:6" ht="12.75" x14ac:dyDescent="0.2">
      <c r="A2169" s="1">
        <v>90</v>
      </c>
      <c r="B2169" s="1">
        <v>2</v>
      </c>
      <c r="C2169" s="1" t="s">
        <v>7</v>
      </c>
      <c r="D2169" s="1" t="s">
        <v>6</v>
      </c>
      <c r="E2169" s="1">
        <v>1.9053971767425499</v>
      </c>
      <c r="F2169" s="1">
        <f>Tabla1[[#This Row],[tiempo]]/(IF(Tabla1[[#This Row],[tamanho]]=$I$3,$L$3,IF(Tabla1[[#This Row],[tamanho]]=$I$4,$L$4,IF(Tabla1[[#This Row],[tamanho]]=$I$5,$L$5,IF(Tabla1[[#This Row],[tamanho]]=$I$6,$L$6,0))))*IF(C2169="8_1",9,25))</f>
        <v>4.152956434089755E-7</v>
      </c>
    </row>
    <row r="2170" spans="1:6" ht="12.75" x14ac:dyDescent="0.2">
      <c r="A2170" s="1">
        <v>90</v>
      </c>
      <c r="B2170" s="1">
        <v>2</v>
      </c>
      <c r="C2170" s="1" t="s">
        <v>8</v>
      </c>
      <c r="D2170" s="1" t="s">
        <v>6</v>
      </c>
      <c r="E2170" s="1">
        <v>1.9169223308563199</v>
      </c>
      <c r="F2170" s="1">
        <f>Tabla1[[#This Row],[tiempo]]/(IF(Tabla1[[#This Row],[tamanho]]=$I$3,$L$3,IF(Tabla1[[#This Row],[tamanho]]=$I$4,$L$4,IF(Tabla1[[#This Row],[tamanho]]=$I$5,$L$5,IF(Tabla1[[#This Row],[tamanho]]=$I$6,$L$6,0))))*IF(C2170="8_1",9,25))</f>
        <v>4.1780763741814492E-7</v>
      </c>
    </row>
    <row r="2171" spans="1:6" ht="12.75" x14ac:dyDescent="0.2">
      <c r="A2171" s="1">
        <v>90</v>
      </c>
      <c r="B2171" s="1">
        <v>2</v>
      </c>
      <c r="C2171" s="1" t="s">
        <v>5</v>
      </c>
      <c r="D2171" s="1" t="s">
        <v>9</v>
      </c>
      <c r="E2171" s="1">
        <v>1.69730377197265</v>
      </c>
      <c r="F2171" s="1">
        <f>Tabla1[[#This Row],[tiempo]]/(IF(Tabla1[[#This Row],[tamanho]]=$I$3,$L$3,IF(Tabla1[[#This Row],[tamanho]]=$I$4,$L$4,IF(Tabla1[[#This Row],[tamanho]]=$I$5,$L$5,IF(Tabla1[[#This Row],[tamanho]]=$I$6,$L$6,0))))*IF(C2171="8_1",9,25))</f>
        <v>1.0276114471123958E-6</v>
      </c>
    </row>
    <row r="2172" spans="1:6" ht="12.75" x14ac:dyDescent="0.2">
      <c r="A2172" s="1">
        <v>90</v>
      </c>
      <c r="B2172" s="1">
        <v>2</v>
      </c>
      <c r="C2172" s="1" t="s">
        <v>7</v>
      </c>
      <c r="D2172" s="1" t="s">
        <v>9</v>
      </c>
      <c r="E2172" s="1">
        <v>1.9040937423705999</v>
      </c>
      <c r="F2172" s="1">
        <f>Tabla1[[#This Row],[tiempo]]/(IF(Tabla1[[#This Row],[tamanho]]=$I$3,$L$3,IF(Tabla1[[#This Row],[tamanho]]=$I$4,$L$4,IF(Tabla1[[#This Row],[tamanho]]=$I$5,$L$5,IF(Tabla1[[#This Row],[tamanho]]=$I$6,$L$6,0))))*IF(C2172="8_1",9,25))</f>
        <v>4.150115500856791E-7</v>
      </c>
    </row>
    <row r="2173" spans="1:6" ht="12.75" x14ac:dyDescent="0.2">
      <c r="A2173" s="1">
        <v>90</v>
      </c>
      <c r="B2173" s="1">
        <v>2</v>
      </c>
      <c r="C2173" s="1" t="s">
        <v>8</v>
      </c>
      <c r="D2173" s="1" t="s">
        <v>9</v>
      </c>
      <c r="E2173" s="1">
        <v>1.9254746437072701</v>
      </c>
      <c r="F2173" s="1">
        <f>Tabla1[[#This Row],[tiempo]]/(IF(Tabla1[[#This Row],[tamanho]]=$I$3,$L$3,IF(Tabla1[[#This Row],[tamanho]]=$I$4,$L$4,IF(Tabla1[[#This Row],[tamanho]]=$I$5,$L$5,IF(Tabla1[[#This Row],[tamanho]]=$I$6,$L$6,0))))*IF(C2173="8_1",9,25))</f>
        <v>4.1967167831808067E-7</v>
      </c>
    </row>
    <row r="2174" spans="1:6" ht="12.75" x14ac:dyDescent="0.2">
      <c r="A2174" s="1">
        <v>90</v>
      </c>
      <c r="B2174" s="1">
        <v>3</v>
      </c>
      <c r="C2174" s="1" t="s">
        <v>5</v>
      </c>
      <c r="D2174" s="1" t="s">
        <v>6</v>
      </c>
      <c r="E2174" s="1">
        <v>3.8491544723510702</v>
      </c>
      <c r="F2174" s="1">
        <f>Tabla1[[#This Row],[tiempo]]/(IF(Tabla1[[#This Row],[tamanho]]=$I$3,$L$3,IF(Tabla1[[#This Row],[tamanho]]=$I$4,$L$4,IF(Tabla1[[#This Row],[tamanho]]=$I$5,$L$5,IF(Tabla1[[#This Row],[tamanho]]=$I$6,$L$6,0))))*IF(C2174="8_1",9,25))</f>
        <v>1.034920085906769E-6</v>
      </c>
    </row>
    <row r="2175" spans="1:6" ht="12.75" x14ac:dyDescent="0.2">
      <c r="A2175" s="1">
        <v>90</v>
      </c>
      <c r="B2175" s="1">
        <v>3</v>
      </c>
      <c r="C2175" s="1" t="s">
        <v>7</v>
      </c>
      <c r="D2175" s="1" t="s">
        <v>6</v>
      </c>
      <c r="E2175" s="1">
        <v>4.3132121562957701</v>
      </c>
      <c r="F2175" s="1">
        <f>Tabla1[[#This Row],[tiempo]]/(IF(Tabla1[[#This Row],[tamanho]]=$I$3,$L$3,IF(Tabla1[[#This Row],[tamanho]]=$I$4,$L$4,IF(Tabla1[[#This Row],[tamanho]]=$I$5,$L$5,IF(Tabla1[[#This Row],[tamanho]]=$I$6,$L$6,0))))*IF(C2175="8_1",9,25))</f>
        <v>4.1748876899098328E-7</v>
      </c>
    </row>
    <row r="2176" spans="1:6" ht="12.75" x14ac:dyDescent="0.2">
      <c r="A2176" s="1">
        <v>90</v>
      </c>
      <c r="B2176" s="1">
        <v>3</v>
      </c>
      <c r="C2176" s="1" t="s">
        <v>8</v>
      </c>
      <c r="D2176" s="1" t="s">
        <v>6</v>
      </c>
      <c r="E2176" s="1">
        <v>4.3276815414428702</v>
      </c>
      <c r="F2176" s="1">
        <f>Tabla1[[#This Row],[tiempo]]/(IF(Tabla1[[#This Row],[tamanho]]=$I$3,$L$3,IF(Tabla1[[#This Row],[tamanho]]=$I$4,$L$4,IF(Tabla1[[#This Row],[tamanho]]=$I$5,$L$5,IF(Tabla1[[#This Row],[tamanho]]=$I$6,$L$6,0))))*IF(C2176="8_1",9,25))</f>
        <v>4.1888930427054325E-7</v>
      </c>
    </row>
    <row r="2177" spans="1:6" ht="12.75" x14ac:dyDescent="0.2">
      <c r="A2177" s="1">
        <v>90</v>
      </c>
      <c r="B2177" s="1">
        <v>3</v>
      </c>
      <c r="C2177" s="1" t="s">
        <v>5</v>
      </c>
      <c r="D2177" s="1" t="s">
        <v>9</v>
      </c>
      <c r="E2177" s="1">
        <v>3.8408336639404199</v>
      </c>
      <c r="F2177" s="1">
        <f>Tabla1[[#This Row],[tiempo]]/(IF(Tabla1[[#This Row],[tamanho]]=$I$3,$L$3,IF(Tabla1[[#This Row],[tamanho]]=$I$4,$L$4,IF(Tabla1[[#This Row],[tamanho]]=$I$5,$L$5,IF(Tabla1[[#This Row],[tamanho]]=$I$6,$L$6,0))))*IF(C2177="8_1",9,25))</f>
        <v>1.0326828746394582E-6</v>
      </c>
    </row>
    <row r="2178" spans="1:6" ht="12.75" x14ac:dyDescent="0.2">
      <c r="A2178" s="1">
        <v>90</v>
      </c>
      <c r="B2178" s="1">
        <v>3</v>
      </c>
      <c r="C2178" s="1" t="s">
        <v>7</v>
      </c>
      <c r="D2178" s="1" t="s">
        <v>9</v>
      </c>
      <c r="E2178" s="1">
        <v>4.3246269226074201</v>
      </c>
      <c r="F2178" s="1">
        <f>Tabla1[[#This Row],[tiempo]]/(IF(Tabla1[[#This Row],[tamanho]]=$I$3,$L$3,IF(Tabla1[[#This Row],[tamanho]]=$I$4,$L$4,IF(Tabla1[[#This Row],[tamanho]]=$I$5,$L$5,IF(Tabla1[[#This Row],[tamanho]]=$I$6,$L$6,0))))*IF(C2178="8_1",9,25))</f>
        <v>4.1859363853207794E-7</v>
      </c>
    </row>
    <row r="2179" spans="1:6" ht="12.75" x14ac:dyDescent="0.2">
      <c r="A2179" s="1">
        <v>90</v>
      </c>
      <c r="B2179" s="1">
        <v>3</v>
      </c>
      <c r="C2179" s="1" t="s">
        <v>8</v>
      </c>
      <c r="D2179" s="1" t="s">
        <v>9</v>
      </c>
      <c r="E2179" s="1">
        <v>4.3465585708618102</v>
      </c>
      <c r="F2179" s="1">
        <f>Tabla1[[#This Row],[tiempo]]/(IF(Tabla1[[#This Row],[tamanho]]=$I$3,$L$3,IF(Tabla1[[#This Row],[tamanho]]=$I$4,$L$4,IF(Tabla1[[#This Row],[tamanho]]=$I$5,$L$5,IF(Tabla1[[#This Row],[tamanho]]=$I$6,$L$6,0))))*IF(C2179="8_1",9,25))</f>
        <v>4.207164686873959E-7</v>
      </c>
    </row>
    <row r="2180" spans="1:6" ht="12.75" x14ac:dyDescent="0.2">
      <c r="A2180" s="1">
        <v>90</v>
      </c>
      <c r="B2180" s="1">
        <v>4</v>
      </c>
      <c r="C2180" s="1" t="s">
        <v>5</v>
      </c>
      <c r="D2180" s="1" t="s">
        <v>6</v>
      </c>
      <c r="E2180" s="1">
        <v>6.8667063713073704</v>
      </c>
      <c r="F2180" s="1">
        <f>Tabla1[[#This Row],[tiempo]]/(IF(Tabla1[[#This Row],[tamanho]]=$I$3,$L$3,IF(Tabla1[[#This Row],[tamanho]]=$I$4,$L$4,IF(Tabla1[[#This Row],[tamanho]]=$I$5,$L$5,IF(Tabla1[[#This Row],[tamanho]]=$I$6,$L$6,0))))*IF(C2180="8_1",9,25))</f>
        <v>1.0369179992330935E-6</v>
      </c>
    </row>
    <row r="2181" spans="1:6" ht="12.75" x14ac:dyDescent="0.2">
      <c r="A2181" s="1">
        <v>90</v>
      </c>
      <c r="B2181" s="1">
        <v>4</v>
      </c>
      <c r="C2181" s="1" t="s">
        <v>7</v>
      </c>
      <c r="D2181" s="1" t="s">
        <v>6</v>
      </c>
      <c r="E2181" s="1">
        <v>7.7201588153839102</v>
      </c>
      <c r="F2181" s="1">
        <f>Tabla1[[#This Row],[tiempo]]/(IF(Tabla1[[#This Row],[tamanho]]=$I$3,$L$3,IF(Tabla1[[#This Row],[tamanho]]=$I$4,$L$4,IF(Tabla1[[#This Row],[tamanho]]=$I$5,$L$5,IF(Tabla1[[#This Row],[tamanho]]=$I$6,$L$6,0))))*IF(C2181="8_1",9,25))</f>
        <v>4.1968618314325492E-7</v>
      </c>
    </row>
    <row r="2182" spans="1:6" ht="12.75" x14ac:dyDescent="0.2">
      <c r="A2182" s="1">
        <v>90</v>
      </c>
      <c r="B2182" s="1">
        <v>4</v>
      </c>
      <c r="C2182" s="1" t="s">
        <v>8</v>
      </c>
      <c r="D2182" s="1" t="s">
        <v>6</v>
      </c>
      <c r="E2182" s="1">
        <v>7.7203598022460902</v>
      </c>
      <c r="F2182" s="1">
        <f>Tabla1[[#This Row],[tiempo]]/(IF(Tabla1[[#This Row],[tamanho]]=$I$3,$L$3,IF(Tabla1[[#This Row],[tamanho]]=$I$4,$L$4,IF(Tabla1[[#This Row],[tamanho]]=$I$5,$L$5,IF(Tabla1[[#This Row],[tamanho]]=$I$6,$L$6,0))))*IF(C2182="8_1",9,25))</f>
        <v>4.1969710926680593E-7</v>
      </c>
    </row>
    <row r="2183" spans="1:6" ht="12.75" x14ac:dyDescent="0.2">
      <c r="A2183" s="1">
        <v>90</v>
      </c>
      <c r="B2183" s="1">
        <v>4</v>
      </c>
      <c r="C2183" s="1" t="s">
        <v>5</v>
      </c>
      <c r="D2183" s="1" t="s">
        <v>9</v>
      </c>
      <c r="E2183" s="1">
        <v>6.8767662048339799</v>
      </c>
      <c r="F2183" s="1">
        <f>Tabla1[[#This Row],[tiempo]]/(IF(Tabla1[[#This Row],[tamanho]]=$I$3,$L$3,IF(Tabla1[[#This Row],[tamanho]]=$I$4,$L$4,IF(Tabla1[[#This Row],[tamanho]]=$I$5,$L$5,IF(Tabla1[[#This Row],[tamanho]]=$I$6,$L$6,0))))*IF(C2183="8_1",9,25))</f>
        <v>1.0384371005152768E-6</v>
      </c>
    </row>
    <row r="2184" spans="1:6" ht="12.75" x14ac:dyDescent="0.2">
      <c r="A2184" s="1">
        <v>90</v>
      </c>
      <c r="B2184" s="1">
        <v>4</v>
      </c>
      <c r="C2184" s="1" t="s">
        <v>7</v>
      </c>
      <c r="D2184" s="1" t="s">
        <v>9</v>
      </c>
      <c r="E2184" s="1">
        <v>7.7053337097167898</v>
      </c>
      <c r="F2184" s="1">
        <f>Tabla1[[#This Row],[tiempo]]/(IF(Tabla1[[#This Row],[tamanho]]=$I$3,$L$3,IF(Tabla1[[#This Row],[tamanho]]=$I$4,$L$4,IF(Tabla1[[#This Row],[tamanho]]=$I$5,$L$5,IF(Tabla1[[#This Row],[tamanho]]=$I$6,$L$6,0))))*IF(C2184="8_1",9,25))</f>
        <v>4.188802551616011E-7</v>
      </c>
    </row>
    <row r="2185" spans="1:6" ht="12.75" x14ac:dyDescent="0.2">
      <c r="A2185" s="1">
        <v>90</v>
      </c>
      <c r="B2185" s="1">
        <v>4</v>
      </c>
      <c r="C2185" s="1" t="s">
        <v>8</v>
      </c>
      <c r="D2185" s="1" t="s">
        <v>9</v>
      </c>
      <c r="E2185" s="1">
        <v>7.8182301521301198</v>
      </c>
      <c r="F2185" s="1">
        <f>Tabla1[[#This Row],[tiempo]]/(IF(Tabla1[[#This Row],[tamanho]]=$I$3,$L$3,IF(Tabla1[[#This Row],[tamanho]]=$I$4,$L$4,IF(Tabla1[[#This Row],[tamanho]]=$I$5,$L$5,IF(Tabla1[[#This Row],[tamanho]]=$I$6,$L$6,0))))*IF(C2185="8_1",9,25))</f>
        <v>4.2501757411318628E-7</v>
      </c>
    </row>
    <row r="2186" spans="1:6" ht="12.75" x14ac:dyDescent="0.2">
      <c r="A2186" s="1">
        <v>91</v>
      </c>
      <c r="B2186" s="1">
        <v>1</v>
      </c>
      <c r="C2186" s="1" t="s">
        <v>5</v>
      </c>
      <c r="D2186" s="1" t="s">
        <v>6</v>
      </c>
      <c r="E2186" s="1">
        <v>0.41145682334899902</v>
      </c>
      <c r="F2186" s="1">
        <f>Tabla1[[#This Row],[tiempo]]/(IF(Tabla1[[#This Row],[tamanho]]=$I$3,$L$3,IF(Tabla1[[#This Row],[tamanho]]=$I$4,$L$4,IF(Tabla1[[#This Row],[tamanho]]=$I$5,$L$5,IF(Tabla1[[#This Row],[tamanho]]=$I$6,$L$6,0))))*IF(C2186="8_1",9,25))</f>
        <v>1.6956872822430713E-6</v>
      </c>
    </row>
    <row r="2187" spans="1:6" ht="12.75" x14ac:dyDescent="0.2">
      <c r="A2187" s="1">
        <v>91</v>
      </c>
      <c r="B2187" s="1">
        <v>1</v>
      </c>
      <c r="C2187" s="1" t="s">
        <v>7</v>
      </c>
      <c r="D2187" s="1" t="s">
        <v>6</v>
      </c>
      <c r="E2187" s="1">
        <v>0.46084547042846602</v>
      </c>
      <c r="F2187" s="1">
        <f>Tabla1[[#This Row],[tiempo]]/(IF(Tabla1[[#This Row],[tamanho]]=$I$3,$L$3,IF(Tabla1[[#This Row],[tamanho]]=$I$4,$L$4,IF(Tabla1[[#This Row],[tamanho]]=$I$5,$L$5,IF(Tabla1[[#This Row],[tamanho]]=$I$6,$L$6,0))))*IF(C2187="8_1",9,25))</f>
        <v>6.8372162817175331E-7</v>
      </c>
    </row>
    <row r="2188" spans="1:6" ht="12.75" x14ac:dyDescent="0.2">
      <c r="A2188" s="1">
        <v>91</v>
      </c>
      <c r="B2188" s="1">
        <v>1</v>
      </c>
      <c r="C2188" s="1" t="s">
        <v>8</v>
      </c>
      <c r="D2188" s="1" t="s">
        <v>6</v>
      </c>
      <c r="E2188" s="1">
        <v>0.46218395233154203</v>
      </c>
      <c r="F2188" s="1">
        <f>Tabla1[[#This Row],[tiempo]]/(IF(Tabla1[[#This Row],[tamanho]]=$I$3,$L$3,IF(Tabla1[[#This Row],[tamanho]]=$I$4,$L$4,IF(Tabla1[[#This Row],[tamanho]]=$I$5,$L$5,IF(Tabla1[[#This Row],[tamanho]]=$I$6,$L$6,0))))*IF(C2188="8_1",9,25))</f>
        <v>6.8570743270878978E-7</v>
      </c>
    </row>
    <row r="2189" spans="1:6" ht="12.75" x14ac:dyDescent="0.2">
      <c r="A2189" s="1">
        <v>91</v>
      </c>
      <c r="B2189" s="1">
        <v>1</v>
      </c>
      <c r="C2189" s="1" t="s">
        <v>5</v>
      </c>
      <c r="D2189" s="1" t="s">
        <v>9</v>
      </c>
      <c r="E2189" s="1">
        <v>0.40676403045654203</v>
      </c>
      <c r="F2189" s="1">
        <f>Tabla1[[#This Row],[tiempo]]/(IF(Tabla1[[#This Row],[tamanho]]=$I$3,$L$3,IF(Tabla1[[#This Row],[tamanho]]=$I$4,$L$4,IF(Tabla1[[#This Row],[tamanho]]=$I$5,$L$5,IF(Tabla1[[#This Row],[tamanho]]=$I$6,$L$6,0))))*IF(C2189="8_1",9,25))</f>
        <v>1.6763474420110613E-6</v>
      </c>
    </row>
    <row r="2190" spans="1:6" ht="12.75" x14ac:dyDescent="0.2">
      <c r="A2190" s="1">
        <v>91</v>
      </c>
      <c r="B2190" s="1">
        <v>1</v>
      </c>
      <c r="C2190" s="1" t="s">
        <v>7</v>
      </c>
      <c r="D2190" s="1" t="s">
        <v>9</v>
      </c>
      <c r="E2190" s="1">
        <v>0.46040868759155201</v>
      </c>
      <c r="F2190" s="1">
        <f>Tabla1[[#This Row],[tiempo]]/(IF(Tabla1[[#This Row],[tamanho]]=$I$3,$L$3,IF(Tabla1[[#This Row],[tamanho]]=$I$4,$L$4,IF(Tabla1[[#This Row],[tamanho]]=$I$5,$L$5,IF(Tabla1[[#This Row],[tamanho]]=$I$6,$L$6,0))))*IF(C2190="8_1",9,25))</f>
        <v>6.8307360645606916E-7</v>
      </c>
    </row>
    <row r="2191" spans="1:6" ht="12.75" x14ac:dyDescent="0.2">
      <c r="A2191" s="1">
        <v>91</v>
      </c>
      <c r="B2191" s="1">
        <v>1</v>
      </c>
      <c r="C2191" s="1" t="s">
        <v>8</v>
      </c>
      <c r="D2191" s="1" t="s">
        <v>9</v>
      </c>
      <c r="E2191" s="1">
        <v>0.46686124801635698</v>
      </c>
      <c r="F2191" s="1">
        <f>Tabla1[[#This Row],[tiempo]]/(IF(Tabla1[[#This Row],[tamanho]]=$I$3,$L$3,IF(Tabla1[[#This Row],[tamanho]]=$I$4,$L$4,IF(Tabla1[[#This Row],[tamanho]]=$I$5,$L$5,IF(Tabla1[[#This Row],[tamanho]]=$I$6,$L$6,0))))*IF(C2191="8_1",9,25))</f>
        <v>6.9264678315545715E-7</v>
      </c>
    </row>
    <row r="2192" spans="1:6" ht="12.75" x14ac:dyDescent="0.2">
      <c r="A2192" s="1">
        <v>91</v>
      </c>
      <c r="B2192" s="1">
        <v>2</v>
      </c>
      <c r="C2192" s="1" t="s">
        <v>5</v>
      </c>
      <c r="D2192" s="1" t="s">
        <v>6</v>
      </c>
      <c r="E2192" s="1">
        <v>1.6973972320556601</v>
      </c>
      <c r="F2192" s="1">
        <f>Tabla1[[#This Row],[tiempo]]/(IF(Tabla1[[#This Row],[tamanho]]=$I$3,$L$3,IF(Tabla1[[#This Row],[tamanho]]=$I$4,$L$4,IF(Tabla1[[#This Row],[tamanho]]=$I$5,$L$5,IF(Tabla1[[#This Row],[tamanho]]=$I$6,$L$6,0))))*IF(C2192="8_1",9,25))</f>
        <v>1.027668031356616E-6</v>
      </c>
    </row>
    <row r="2193" spans="1:6" ht="12.75" x14ac:dyDescent="0.2">
      <c r="A2193" s="1">
        <v>91</v>
      </c>
      <c r="B2193" s="1">
        <v>2</v>
      </c>
      <c r="C2193" s="1" t="s">
        <v>7</v>
      </c>
      <c r="D2193" s="1" t="s">
        <v>6</v>
      </c>
      <c r="E2193" s="1">
        <v>1.8999049663543699</v>
      </c>
      <c r="F2193" s="1">
        <f>Tabla1[[#This Row],[tiempo]]/(IF(Tabla1[[#This Row],[tamanho]]=$I$3,$L$3,IF(Tabla1[[#This Row],[tamanho]]=$I$4,$L$4,IF(Tabla1[[#This Row],[tamanho]]=$I$5,$L$5,IF(Tabla1[[#This Row],[tamanho]]=$I$6,$L$6,0))))*IF(C2193="8_1",9,25))</f>
        <v>4.1409857485301379E-7</v>
      </c>
    </row>
    <row r="2194" spans="1:6" ht="12.75" x14ac:dyDescent="0.2">
      <c r="A2194" s="1">
        <v>91</v>
      </c>
      <c r="B2194" s="1">
        <v>2</v>
      </c>
      <c r="C2194" s="1" t="s">
        <v>8</v>
      </c>
      <c r="D2194" s="1" t="s">
        <v>6</v>
      </c>
      <c r="E2194" s="1">
        <v>1.9121558666229199</v>
      </c>
      <c r="F2194" s="1">
        <f>Tabla1[[#This Row],[tiempo]]/(IF(Tabla1[[#This Row],[tamanho]]=$I$3,$L$3,IF(Tabla1[[#This Row],[tamanho]]=$I$4,$L$4,IF(Tabla1[[#This Row],[tamanho]]=$I$5,$L$5,IF(Tabla1[[#This Row],[tamanho]]=$I$6,$L$6,0))))*IF(C2194="8_1",9,25))</f>
        <v>4.1676875069428624E-7</v>
      </c>
    </row>
    <row r="2195" spans="1:6" ht="12.75" x14ac:dyDescent="0.2">
      <c r="A2195" s="1">
        <v>91</v>
      </c>
      <c r="B2195" s="1">
        <v>2</v>
      </c>
      <c r="C2195" s="1" t="s">
        <v>5</v>
      </c>
      <c r="D2195" s="1" t="s">
        <v>9</v>
      </c>
      <c r="E2195" s="1">
        <v>1.71001529693603</v>
      </c>
      <c r="F2195" s="1">
        <f>Tabla1[[#This Row],[tiempo]]/(IF(Tabla1[[#This Row],[tamanho]]=$I$3,$L$3,IF(Tabla1[[#This Row],[tamanho]]=$I$4,$L$4,IF(Tabla1[[#This Row],[tamanho]]=$I$5,$L$5,IF(Tabla1[[#This Row],[tamanho]]=$I$6,$L$6,0))))*IF(C2195="8_1",9,25))</f>
        <v>1.0353074817164094E-6</v>
      </c>
    </row>
    <row r="2196" spans="1:6" ht="12.75" x14ac:dyDescent="0.2">
      <c r="A2196" s="1">
        <v>91</v>
      </c>
      <c r="B2196" s="1">
        <v>2</v>
      </c>
      <c r="C2196" s="1" t="s">
        <v>7</v>
      </c>
      <c r="D2196" s="1" t="s">
        <v>9</v>
      </c>
      <c r="E2196" s="1">
        <v>1.90471935272216</v>
      </c>
      <c r="F2196" s="1">
        <f>Tabla1[[#This Row],[tiempo]]/(IF(Tabla1[[#This Row],[tamanho]]=$I$3,$L$3,IF(Tabla1[[#This Row],[tamanho]]=$I$4,$L$4,IF(Tabla1[[#This Row],[tamanho]]=$I$5,$L$5,IF(Tabla1[[#This Row],[tamanho]]=$I$6,$L$6,0))))*IF(C2196="8_1",9,25))</f>
        <v>4.1514790656644109E-7</v>
      </c>
    </row>
    <row r="2197" spans="1:6" ht="12.75" x14ac:dyDescent="0.2">
      <c r="A2197" s="1">
        <v>91</v>
      </c>
      <c r="B2197" s="1">
        <v>2</v>
      </c>
      <c r="C2197" s="1" t="s">
        <v>8</v>
      </c>
      <c r="D2197" s="1" t="s">
        <v>9</v>
      </c>
      <c r="E2197" s="1">
        <v>1.9155802726745601</v>
      </c>
      <c r="F2197" s="1">
        <f>Tabla1[[#This Row],[tiempo]]/(IF(Tabla1[[#This Row],[tamanho]]=$I$3,$L$3,IF(Tabla1[[#This Row],[tamanho]]=$I$4,$L$4,IF(Tabla1[[#This Row],[tamanho]]=$I$5,$L$5,IF(Tabla1[[#This Row],[tamanho]]=$I$6,$L$6,0))))*IF(C2197="8_1",9,25))</f>
        <v>4.1751512574504642E-7</v>
      </c>
    </row>
    <row r="2198" spans="1:6" ht="12.75" x14ac:dyDescent="0.2">
      <c r="A2198" s="1">
        <v>91</v>
      </c>
      <c r="B2198" s="1">
        <v>3</v>
      </c>
      <c r="C2198" s="1" t="s">
        <v>5</v>
      </c>
      <c r="D2198" s="1" t="s">
        <v>6</v>
      </c>
      <c r="E2198" s="1">
        <v>3.83050060272216</v>
      </c>
      <c r="F2198" s="1">
        <f>Tabla1[[#This Row],[tiempo]]/(IF(Tabla1[[#This Row],[tamanho]]=$I$3,$L$3,IF(Tabla1[[#This Row],[tamanho]]=$I$4,$L$4,IF(Tabla1[[#This Row],[tamanho]]=$I$5,$L$5,IF(Tabla1[[#This Row],[tamanho]]=$I$6,$L$6,0))))*IF(C2198="8_1",9,25))</f>
        <v>1.0299046300456137E-6</v>
      </c>
    </row>
    <row r="2199" spans="1:6" ht="12.75" x14ac:dyDescent="0.2">
      <c r="A2199" s="1">
        <v>91</v>
      </c>
      <c r="B2199" s="1">
        <v>3</v>
      </c>
      <c r="C2199" s="1" t="s">
        <v>7</v>
      </c>
      <c r="D2199" s="1" t="s">
        <v>6</v>
      </c>
      <c r="E2199" s="1">
        <v>4.3273911476135201</v>
      </c>
      <c r="F2199" s="1">
        <f>Tabla1[[#This Row],[tiempo]]/(IF(Tabla1[[#This Row],[tamanho]]=$I$3,$L$3,IF(Tabla1[[#This Row],[tamanho]]=$I$4,$L$4,IF(Tabla1[[#This Row],[tamanho]]=$I$5,$L$5,IF(Tabla1[[#This Row],[tamanho]]=$I$6,$L$6,0))))*IF(C2199="8_1",9,25))</f>
        <v>4.1886119617895284E-7</v>
      </c>
    </row>
    <row r="2200" spans="1:6" ht="12.75" x14ac:dyDescent="0.2">
      <c r="A2200" s="1">
        <v>91</v>
      </c>
      <c r="B2200" s="1">
        <v>3</v>
      </c>
      <c r="C2200" s="1" t="s">
        <v>8</v>
      </c>
      <c r="D2200" s="1" t="s">
        <v>6</v>
      </c>
      <c r="E2200" s="1">
        <v>4.3597307205200098</v>
      </c>
      <c r="F2200" s="1">
        <f>Tabla1[[#This Row],[tiempo]]/(IF(Tabla1[[#This Row],[tamanho]]=$I$3,$L$3,IF(Tabla1[[#This Row],[tamanho]]=$I$4,$L$4,IF(Tabla1[[#This Row],[tamanho]]=$I$5,$L$5,IF(Tabla1[[#This Row],[tamanho]]=$I$6,$L$6,0))))*IF(C2200="8_1",9,25))</f>
        <v>4.2199144064483593E-7</v>
      </c>
    </row>
    <row r="2201" spans="1:6" ht="12.75" x14ac:dyDescent="0.2">
      <c r="A2201" s="1">
        <v>91</v>
      </c>
      <c r="B2201" s="1">
        <v>3</v>
      </c>
      <c r="C2201" s="1" t="s">
        <v>5</v>
      </c>
      <c r="D2201" s="1" t="s">
        <v>9</v>
      </c>
      <c r="E2201" s="1">
        <v>3.86265540122985</v>
      </c>
      <c r="F2201" s="1">
        <f>Tabla1[[#This Row],[tiempo]]/(IF(Tabla1[[#This Row],[tamanho]]=$I$3,$L$3,IF(Tabla1[[#This Row],[tamanho]]=$I$4,$L$4,IF(Tabla1[[#This Row],[tamanho]]=$I$5,$L$5,IF(Tabla1[[#This Row],[tamanho]]=$I$6,$L$6,0))))*IF(C2201="8_1",9,25))</f>
        <v>1.0385500733690579E-6</v>
      </c>
    </row>
    <row r="2202" spans="1:6" ht="12.75" x14ac:dyDescent="0.2">
      <c r="A2202" s="1">
        <v>91</v>
      </c>
      <c r="B2202" s="1">
        <v>3</v>
      </c>
      <c r="C2202" s="1" t="s">
        <v>7</v>
      </c>
      <c r="D2202" s="1" t="s">
        <v>9</v>
      </c>
      <c r="E2202" s="1">
        <v>4.32673907279968</v>
      </c>
      <c r="F2202" s="1">
        <f>Tabla1[[#This Row],[tiempo]]/(IF(Tabla1[[#This Row],[tamanho]]=$I$3,$L$3,IF(Tabla1[[#This Row],[tamanho]]=$I$4,$L$4,IF(Tabla1[[#This Row],[tamanho]]=$I$5,$L$5,IF(Tabla1[[#This Row],[tamanho]]=$I$6,$L$6,0))))*IF(C2202="8_1",9,25))</f>
        <v>4.1879807989775559E-7</v>
      </c>
    </row>
    <row r="2203" spans="1:6" ht="12.75" x14ac:dyDescent="0.2">
      <c r="A2203" s="1">
        <v>91</v>
      </c>
      <c r="B2203" s="1">
        <v>3</v>
      </c>
      <c r="C2203" s="1" t="s">
        <v>8</v>
      </c>
      <c r="D2203" s="1" t="s">
        <v>9</v>
      </c>
      <c r="E2203" s="1">
        <v>4.3943459987640301</v>
      </c>
      <c r="F2203" s="1">
        <f>Tabla1[[#This Row],[tiempo]]/(IF(Tabla1[[#This Row],[tamanho]]=$I$3,$L$3,IF(Tabla1[[#This Row],[tamanho]]=$I$4,$L$4,IF(Tabla1[[#This Row],[tamanho]]=$I$5,$L$5,IF(Tabla1[[#This Row],[tamanho]]=$I$6,$L$6,0))))*IF(C2203="8_1",9,25))</f>
        <v>4.2534195747051132E-7</v>
      </c>
    </row>
    <row r="2204" spans="1:6" ht="12.75" x14ac:dyDescent="0.2">
      <c r="A2204" s="1">
        <v>91</v>
      </c>
      <c r="B2204" s="1">
        <v>4</v>
      </c>
      <c r="C2204" s="1" t="s">
        <v>5</v>
      </c>
      <c r="D2204" s="1" t="s">
        <v>6</v>
      </c>
      <c r="E2204" s="1">
        <v>7.0647616386413503</v>
      </c>
      <c r="F2204" s="1">
        <f>Tabla1[[#This Row],[tiempo]]/(IF(Tabla1[[#This Row],[tamanho]]=$I$3,$L$3,IF(Tabla1[[#This Row],[tamanho]]=$I$4,$L$4,IF(Tabla1[[#This Row],[tamanho]]=$I$5,$L$5,IF(Tabla1[[#This Row],[tamanho]]=$I$6,$L$6,0))))*IF(C2204="8_1",9,25))</f>
        <v>1.0668256522528374E-6</v>
      </c>
    </row>
    <row r="2205" spans="1:6" ht="12.75" x14ac:dyDescent="0.2">
      <c r="A2205" s="1">
        <v>91</v>
      </c>
      <c r="B2205" s="1">
        <v>4</v>
      </c>
      <c r="C2205" s="1" t="s">
        <v>7</v>
      </c>
      <c r="D2205" s="1" t="s">
        <v>6</v>
      </c>
      <c r="E2205" s="1">
        <v>7.9844594001770002</v>
      </c>
      <c r="F2205" s="1">
        <f>Tabla1[[#This Row],[tiempo]]/(IF(Tabla1[[#This Row],[tamanho]]=$I$3,$L$3,IF(Tabla1[[#This Row],[tamanho]]=$I$4,$L$4,IF(Tabla1[[#This Row],[tamanho]]=$I$5,$L$5,IF(Tabla1[[#This Row],[tamanho]]=$I$6,$L$6,0))))*IF(C2205="8_1",9,25))</f>
        <v>4.3405419114502115E-7</v>
      </c>
    </row>
    <row r="2206" spans="1:6" ht="12.75" x14ac:dyDescent="0.2">
      <c r="A2206" s="1">
        <v>91</v>
      </c>
      <c r="B2206" s="1">
        <v>4</v>
      </c>
      <c r="C2206" s="1" t="s">
        <v>8</v>
      </c>
      <c r="D2206" s="1" t="s">
        <v>6</v>
      </c>
      <c r="E2206" s="1">
        <v>7.8819103240966797</v>
      </c>
      <c r="F2206" s="1">
        <f>Tabla1[[#This Row],[tiempo]]/(IF(Tabla1[[#This Row],[tamanho]]=$I$3,$L$3,IF(Tabla1[[#This Row],[tamanho]]=$I$4,$L$4,IF(Tabla1[[#This Row],[tamanho]]=$I$5,$L$5,IF(Tabla1[[#This Row],[tamanho]]=$I$6,$L$6,0))))*IF(C2206="8_1",9,25))</f>
        <v>4.284793796218107E-7</v>
      </c>
    </row>
    <row r="2207" spans="1:6" ht="12.75" x14ac:dyDescent="0.2">
      <c r="A2207" s="1">
        <v>91</v>
      </c>
      <c r="B2207" s="1">
        <v>4</v>
      </c>
      <c r="C2207" s="1" t="s">
        <v>5</v>
      </c>
      <c r="D2207" s="1" t="s">
        <v>9</v>
      </c>
      <c r="E2207" s="1">
        <v>6.9750602245330802</v>
      </c>
      <c r="F2207" s="1">
        <f>Tabla1[[#This Row],[tiempo]]/(IF(Tabla1[[#This Row],[tamanho]]=$I$3,$L$3,IF(Tabla1[[#This Row],[tamanho]]=$I$4,$L$4,IF(Tabla1[[#This Row],[tamanho]]=$I$5,$L$5,IF(Tabla1[[#This Row],[tamanho]]=$I$6,$L$6,0))))*IF(C2207="8_1",9,25))</f>
        <v>1.0532801464723394E-6</v>
      </c>
    </row>
    <row r="2208" spans="1:6" ht="12.75" x14ac:dyDescent="0.2">
      <c r="A2208" s="1">
        <v>91</v>
      </c>
      <c r="B2208" s="1">
        <v>4</v>
      </c>
      <c r="C2208" s="1" t="s">
        <v>7</v>
      </c>
      <c r="D2208" s="1" t="s">
        <v>9</v>
      </c>
      <c r="E2208" s="1">
        <v>7.8082237243652299</v>
      </c>
      <c r="F2208" s="1">
        <f>Tabla1[[#This Row],[tiempo]]/(IF(Tabla1[[#This Row],[tamanho]]=$I$3,$L$3,IF(Tabla1[[#This Row],[tamanho]]=$I$4,$L$4,IF(Tabla1[[#This Row],[tamanho]]=$I$5,$L$5,IF(Tabla1[[#This Row],[tamanho]]=$I$6,$L$6,0))))*IF(C2208="8_1",9,25))</f>
        <v>4.2447360091574672E-7</v>
      </c>
    </row>
    <row r="2209" spans="1:6" ht="12.75" x14ac:dyDescent="0.2">
      <c r="A2209" s="1">
        <v>91</v>
      </c>
      <c r="B2209" s="1">
        <v>4</v>
      </c>
      <c r="C2209" s="1" t="s">
        <v>8</v>
      </c>
      <c r="D2209" s="1" t="s">
        <v>9</v>
      </c>
      <c r="E2209" s="1">
        <v>7.8618235588073704</v>
      </c>
      <c r="F2209" s="1">
        <f>Tabla1[[#This Row],[tiempo]]/(IF(Tabla1[[#This Row],[tamanho]]=$I$3,$L$3,IF(Tabla1[[#This Row],[tamanho]]=$I$4,$L$4,IF(Tabla1[[#This Row],[tamanho]]=$I$5,$L$5,IF(Tabla1[[#This Row],[tamanho]]=$I$6,$L$6,0))))*IF(C2209="8_1",9,25))</f>
        <v>4.2738741531672855E-7</v>
      </c>
    </row>
    <row r="2210" spans="1:6" ht="12.75" x14ac:dyDescent="0.2">
      <c r="A2210" s="1">
        <v>92</v>
      </c>
      <c r="B2210" s="1">
        <v>1</v>
      </c>
      <c r="C2210" s="1" t="s">
        <v>5</v>
      </c>
      <c r="D2210" s="1" t="s">
        <v>6</v>
      </c>
      <c r="E2210" s="1">
        <v>0.41025424003601002</v>
      </c>
      <c r="F2210" s="1">
        <f>Tabla1[[#This Row],[tiempo]]/(IF(Tabla1[[#This Row],[tamanho]]=$I$3,$L$3,IF(Tabla1[[#This Row],[tamanho]]=$I$4,$L$4,IF(Tabla1[[#This Row],[tamanho]]=$I$5,$L$5,IF(Tabla1[[#This Row],[tamanho]]=$I$6,$L$6,0))))*IF(C2210="8_1",9,25))</f>
        <v>1.6907312209653039E-6</v>
      </c>
    </row>
    <row r="2211" spans="1:6" ht="12.75" x14ac:dyDescent="0.2">
      <c r="A2211" s="1">
        <v>92</v>
      </c>
      <c r="B2211" s="1">
        <v>1</v>
      </c>
      <c r="C2211" s="1" t="s">
        <v>7</v>
      </c>
      <c r="D2211" s="1" t="s">
        <v>6</v>
      </c>
      <c r="E2211" s="1">
        <v>0.463351249694824</v>
      </c>
      <c r="F2211" s="1">
        <f>Tabla1[[#This Row],[tiempo]]/(IF(Tabla1[[#This Row],[tamanho]]=$I$3,$L$3,IF(Tabla1[[#This Row],[tamanho]]=$I$4,$L$4,IF(Tabla1[[#This Row],[tamanho]]=$I$5,$L$5,IF(Tabla1[[#This Row],[tamanho]]=$I$6,$L$6,0))))*IF(C2211="8_1",9,25))</f>
        <v>6.8743926366948404E-7</v>
      </c>
    </row>
    <row r="2212" spans="1:6" ht="12.75" x14ac:dyDescent="0.2">
      <c r="A2212" s="1">
        <v>92</v>
      </c>
      <c r="B2212" s="1">
        <v>1</v>
      </c>
      <c r="C2212" s="1" t="s">
        <v>8</v>
      </c>
      <c r="D2212" s="1" t="s">
        <v>6</v>
      </c>
      <c r="E2212" s="1">
        <v>0.467444658279418</v>
      </c>
      <c r="F2212" s="1">
        <f>Tabla1[[#This Row],[tiempo]]/(IF(Tabla1[[#This Row],[tamanho]]=$I$3,$L$3,IF(Tabla1[[#This Row],[tamanho]]=$I$4,$L$4,IF(Tabla1[[#This Row],[tamanho]]=$I$5,$L$5,IF(Tabla1[[#This Row],[tamanho]]=$I$6,$L$6,0))))*IF(C2212="8_1",9,25))</f>
        <v>6.9351234491215909E-7</v>
      </c>
    </row>
    <row r="2213" spans="1:6" ht="12.75" x14ac:dyDescent="0.2">
      <c r="A2213" s="1">
        <v>92</v>
      </c>
      <c r="B2213" s="1">
        <v>1</v>
      </c>
      <c r="C2213" s="1" t="s">
        <v>5</v>
      </c>
      <c r="D2213" s="1" t="s">
        <v>9</v>
      </c>
      <c r="E2213" s="1">
        <v>0.41615271568298301</v>
      </c>
      <c r="F2213" s="1">
        <f>Tabla1[[#This Row],[tiempo]]/(IF(Tabla1[[#This Row],[tamanho]]=$I$3,$L$3,IF(Tabla1[[#This Row],[tamanho]]=$I$4,$L$4,IF(Tabla1[[#This Row],[tamanho]]=$I$5,$L$5,IF(Tabla1[[#This Row],[tamanho]]=$I$6,$L$6,0))))*IF(C2213="8_1",9,25))</f>
        <v>1.7150398958288845E-6</v>
      </c>
    </row>
    <row r="2214" spans="1:6" ht="12.75" x14ac:dyDescent="0.2">
      <c r="A2214" s="1">
        <v>92</v>
      </c>
      <c r="B2214" s="1">
        <v>1</v>
      </c>
      <c r="C2214" s="1" t="s">
        <v>7</v>
      </c>
      <c r="D2214" s="1" t="s">
        <v>9</v>
      </c>
      <c r="E2214" s="1">
        <v>0.46375942230224598</v>
      </c>
      <c r="F2214" s="1">
        <f>Tabla1[[#This Row],[tiempo]]/(IF(Tabla1[[#This Row],[tamanho]]=$I$3,$L$3,IF(Tabla1[[#This Row],[tamanho]]=$I$4,$L$4,IF(Tabla1[[#This Row],[tamanho]]=$I$5,$L$5,IF(Tabla1[[#This Row],[tamanho]]=$I$6,$L$6,0))))*IF(C2214="8_1",9,25))</f>
        <v>6.8804483854789652E-7</v>
      </c>
    </row>
    <row r="2215" spans="1:6" ht="12.75" x14ac:dyDescent="0.2">
      <c r="A2215" s="1">
        <v>92</v>
      </c>
      <c r="B2215" s="1">
        <v>1</v>
      </c>
      <c r="C2215" s="1" t="s">
        <v>8</v>
      </c>
      <c r="D2215" s="1" t="s">
        <v>9</v>
      </c>
      <c r="E2215" s="1">
        <v>0.47868108749389598</v>
      </c>
      <c r="F2215" s="1">
        <f>Tabla1[[#This Row],[tiempo]]/(IF(Tabla1[[#This Row],[tamanho]]=$I$3,$L$3,IF(Tabla1[[#This Row],[tamanho]]=$I$4,$L$4,IF(Tabla1[[#This Row],[tamanho]]=$I$5,$L$5,IF(Tabla1[[#This Row],[tamanho]]=$I$6,$L$6,0))))*IF(C2215="8_1",9,25))</f>
        <v>7.1018298652705164E-7</v>
      </c>
    </row>
    <row r="2216" spans="1:6" ht="12.75" x14ac:dyDescent="0.2">
      <c r="A2216" s="1">
        <v>92</v>
      </c>
      <c r="B2216" s="1">
        <v>2</v>
      </c>
      <c r="C2216" s="1" t="s">
        <v>5</v>
      </c>
      <c r="D2216" s="1" t="s">
        <v>6</v>
      </c>
      <c r="E2216" s="1">
        <v>1.7803714275360101</v>
      </c>
      <c r="F2216" s="1">
        <f>Tabla1[[#This Row],[tiempo]]/(IF(Tabla1[[#This Row],[tamanho]]=$I$3,$L$3,IF(Tabla1[[#This Row],[tamanho]]=$I$4,$L$4,IF(Tabla1[[#This Row],[tamanho]]=$I$5,$L$5,IF(Tabla1[[#This Row],[tamanho]]=$I$6,$L$6,0))))*IF(C2216="8_1",9,25))</f>
        <v>1.0779037254607139E-6</v>
      </c>
    </row>
    <row r="2217" spans="1:6" ht="12.75" x14ac:dyDescent="0.2">
      <c r="A2217" s="1">
        <v>92</v>
      </c>
      <c r="B2217" s="1">
        <v>2</v>
      </c>
      <c r="C2217" s="1" t="s">
        <v>7</v>
      </c>
      <c r="D2217" s="1" t="s">
        <v>6</v>
      </c>
      <c r="E2217" s="1">
        <v>1.9411420822143499</v>
      </c>
      <c r="F2217" s="1">
        <f>Tabla1[[#This Row],[tiempo]]/(IF(Tabla1[[#This Row],[tamanho]]=$I$3,$L$3,IF(Tabla1[[#This Row],[tamanho]]=$I$4,$L$4,IF(Tabla1[[#This Row],[tamanho]]=$I$5,$L$5,IF(Tabla1[[#This Row],[tamanho]]=$I$6,$L$6,0))))*IF(C2217="8_1",9,25))</f>
        <v>4.2308651436107931E-7</v>
      </c>
    </row>
    <row r="2218" spans="1:6" ht="12.75" x14ac:dyDescent="0.2">
      <c r="A2218" s="1">
        <v>92</v>
      </c>
      <c r="B2218" s="1">
        <v>2</v>
      </c>
      <c r="C2218" s="1" t="s">
        <v>8</v>
      </c>
      <c r="D2218" s="1" t="s">
        <v>6</v>
      </c>
      <c r="E2218" s="1">
        <v>1.90523529052734</v>
      </c>
      <c r="F2218" s="1">
        <f>Tabla1[[#This Row],[tiempo]]/(IF(Tabla1[[#This Row],[tamanho]]=$I$3,$L$3,IF(Tabla1[[#This Row],[tamanho]]=$I$4,$L$4,IF(Tabla1[[#This Row],[tamanho]]=$I$5,$L$5,IF(Tabla1[[#This Row],[tamanho]]=$I$6,$L$6,0))))*IF(C2218="8_1",9,25))</f>
        <v>4.152603590909733E-7</v>
      </c>
    </row>
    <row r="2219" spans="1:6" ht="12.75" x14ac:dyDescent="0.2">
      <c r="A2219" s="1">
        <v>92</v>
      </c>
      <c r="B2219" s="1">
        <v>2</v>
      </c>
      <c r="C2219" s="1" t="s">
        <v>5</v>
      </c>
      <c r="D2219" s="1" t="s">
        <v>9</v>
      </c>
      <c r="E2219" s="1">
        <v>1.6956527233123699</v>
      </c>
      <c r="F2219" s="1">
        <f>Tabla1[[#This Row],[tiempo]]/(IF(Tabla1[[#This Row],[tamanho]]=$I$3,$L$3,IF(Tabla1[[#This Row],[tamanho]]=$I$4,$L$4,IF(Tabla1[[#This Row],[tamanho]]=$I$5,$L$5,IF(Tabla1[[#This Row],[tamanho]]=$I$6,$L$6,0))))*IF(C2219="8_1",9,25))</f>
        <v>1.0266118402470488E-6</v>
      </c>
    </row>
    <row r="2220" spans="1:6" ht="12.75" x14ac:dyDescent="0.2">
      <c r="A2220" s="1">
        <v>92</v>
      </c>
      <c r="B2220" s="1">
        <v>2</v>
      </c>
      <c r="C2220" s="1" t="s">
        <v>7</v>
      </c>
      <c r="D2220" s="1" t="s">
        <v>9</v>
      </c>
      <c r="E2220" s="1">
        <v>1.90358686447143</v>
      </c>
      <c r="F2220" s="1">
        <f>Tabla1[[#This Row],[tiempo]]/(IF(Tabla1[[#This Row],[tamanho]]=$I$3,$L$3,IF(Tabla1[[#This Row],[tamanho]]=$I$4,$L$4,IF(Tabla1[[#This Row],[tamanho]]=$I$5,$L$5,IF(Tabla1[[#This Row],[tamanho]]=$I$6,$L$6,0))))*IF(C2220="8_1",9,25))</f>
        <v>4.1490107223579297E-7</v>
      </c>
    </row>
    <row r="2221" spans="1:6" ht="12.75" x14ac:dyDescent="0.2">
      <c r="A2221" s="1">
        <v>92</v>
      </c>
      <c r="B2221" s="1">
        <v>2</v>
      </c>
      <c r="C2221" s="1" t="s">
        <v>8</v>
      </c>
      <c r="D2221" s="1" t="s">
        <v>9</v>
      </c>
      <c r="E2221" s="1">
        <v>1.92204189300537</v>
      </c>
      <c r="F2221" s="1">
        <f>Tabla1[[#This Row],[tiempo]]/(IF(Tabla1[[#This Row],[tamanho]]=$I$3,$L$3,IF(Tabla1[[#This Row],[tamanho]]=$I$4,$L$4,IF(Tabla1[[#This Row],[tamanho]]=$I$5,$L$5,IF(Tabla1[[#This Row],[tamanho]]=$I$6,$L$6,0))))*IF(C2221="8_1",9,25))</f>
        <v>4.1892348448804395E-7</v>
      </c>
    </row>
    <row r="2222" spans="1:6" ht="12.75" x14ac:dyDescent="0.2">
      <c r="A2222" s="1">
        <v>92</v>
      </c>
      <c r="B2222" s="1">
        <v>3</v>
      </c>
      <c r="C2222" s="1" t="s">
        <v>5</v>
      </c>
      <c r="D2222" s="1" t="s">
        <v>6</v>
      </c>
      <c r="E2222" s="1">
        <v>3.83107233047485</v>
      </c>
      <c r="F2222" s="1">
        <f>Tabla1[[#This Row],[tiempo]]/(IF(Tabla1[[#This Row],[tamanho]]=$I$3,$L$3,IF(Tabla1[[#This Row],[tamanho]]=$I$4,$L$4,IF(Tabla1[[#This Row],[tamanho]]=$I$5,$L$5,IF(Tabla1[[#This Row],[tamanho]]=$I$6,$L$6,0))))*IF(C2222="8_1",9,25))</f>
        <v>1.0300583501779646E-6</v>
      </c>
    </row>
    <row r="2223" spans="1:6" ht="12.75" x14ac:dyDescent="0.2">
      <c r="A2223" s="1">
        <v>92</v>
      </c>
      <c r="B2223" s="1">
        <v>3</v>
      </c>
      <c r="C2223" s="1" t="s">
        <v>7</v>
      </c>
      <c r="D2223" s="1" t="s">
        <v>6</v>
      </c>
      <c r="E2223" s="1">
        <v>4.3358337879180899</v>
      </c>
      <c r="F2223" s="1">
        <f>Tabla1[[#This Row],[tiempo]]/(IF(Tabla1[[#This Row],[tamanho]]=$I$3,$L$3,IF(Tabla1[[#This Row],[tamanho]]=$I$4,$L$4,IF(Tabla1[[#This Row],[tamanho]]=$I$5,$L$5,IF(Tabla1[[#This Row],[tamanho]]=$I$6,$L$6,0))))*IF(C2223="8_1",9,25))</f>
        <v>4.1967838471039195E-7</v>
      </c>
    </row>
    <row r="2224" spans="1:6" ht="12.75" x14ac:dyDescent="0.2">
      <c r="A2224" s="1">
        <v>92</v>
      </c>
      <c r="B2224" s="1">
        <v>3</v>
      </c>
      <c r="C2224" s="1" t="s">
        <v>8</v>
      </c>
      <c r="D2224" s="1" t="s">
        <v>6</v>
      </c>
      <c r="E2224" s="1">
        <v>4.3227124214172301</v>
      </c>
      <c r="F2224" s="1">
        <f>Tabla1[[#This Row],[tiempo]]/(IF(Tabla1[[#This Row],[tamanho]]=$I$3,$L$3,IF(Tabla1[[#This Row],[tamanho]]=$I$4,$L$4,IF(Tabla1[[#This Row],[tamanho]]=$I$5,$L$5,IF(Tabla1[[#This Row],[tamanho]]=$I$6,$L$6,0))))*IF(C2224="8_1",9,25))</f>
        <v>4.1840832820739159E-7</v>
      </c>
    </row>
    <row r="2225" spans="1:6" ht="12.75" x14ac:dyDescent="0.2">
      <c r="A2225" s="1">
        <v>92</v>
      </c>
      <c r="B2225" s="1">
        <v>3</v>
      </c>
      <c r="C2225" s="1" t="s">
        <v>5</v>
      </c>
      <c r="D2225" s="1" t="s">
        <v>9</v>
      </c>
      <c r="E2225" s="1">
        <v>3.8604319095611501</v>
      </c>
      <c r="F2225" s="1">
        <f>Tabla1[[#This Row],[tiempo]]/(IF(Tabla1[[#This Row],[tamanho]]=$I$3,$L$3,IF(Tabla1[[#This Row],[tamanho]]=$I$4,$L$4,IF(Tabla1[[#This Row],[tamanho]]=$I$5,$L$5,IF(Tabla1[[#This Row],[tamanho]]=$I$6,$L$6,0))))*IF(C2225="8_1",9,25))</f>
        <v>1.0379522443639316E-6</v>
      </c>
    </row>
    <row r="2226" spans="1:6" ht="12.75" x14ac:dyDescent="0.2">
      <c r="A2226" s="1">
        <v>92</v>
      </c>
      <c r="B2226" s="1">
        <v>3</v>
      </c>
      <c r="C2226" s="1" t="s">
        <v>7</v>
      </c>
      <c r="D2226" s="1" t="s">
        <v>9</v>
      </c>
      <c r="E2226" s="1">
        <v>4.3298201560974103</v>
      </c>
      <c r="F2226" s="1">
        <f>Tabla1[[#This Row],[tiempo]]/(IF(Tabla1[[#This Row],[tamanho]]=$I$3,$L$3,IF(Tabla1[[#This Row],[tamanho]]=$I$4,$L$4,IF(Tabla1[[#This Row],[tamanho]]=$I$5,$L$5,IF(Tabla1[[#This Row],[tamanho]]=$I$6,$L$6,0))))*IF(C2226="8_1",9,25))</f>
        <v>4.1909630721107027E-7</v>
      </c>
    </row>
    <row r="2227" spans="1:6" ht="12.75" x14ac:dyDescent="0.2">
      <c r="A2227" s="1">
        <v>92</v>
      </c>
      <c r="B2227" s="1">
        <v>3</v>
      </c>
      <c r="C2227" s="1" t="s">
        <v>8</v>
      </c>
      <c r="D2227" s="1" t="s">
        <v>9</v>
      </c>
      <c r="E2227" s="1">
        <v>4.3674499988555899</v>
      </c>
      <c r="F2227" s="1">
        <f>Tabla1[[#This Row],[tiempo]]/(IF(Tabla1[[#This Row],[tamanho]]=$I$3,$L$3,IF(Tabla1[[#This Row],[tamanho]]=$I$4,$L$4,IF(Tabla1[[#This Row],[tamanho]]=$I$5,$L$5,IF(Tabla1[[#This Row],[tamanho]]=$I$6,$L$6,0))))*IF(C2227="8_1",9,25))</f>
        <v>4.2273861279706037E-7</v>
      </c>
    </row>
    <row r="2228" spans="1:6" ht="12.75" x14ac:dyDescent="0.2">
      <c r="A2228" s="1">
        <v>92</v>
      </c>
      <c r="B2228" s="1">
        <v>4</v>
      </c>
      <c r="C2228" s="1" t="s">
        <v>5</v>
      </c>
      <c r="D2228" s="1" t="s">
        <v>6</v>
      </c>
      <c r="E2228" s="1">
        <v>6.8903336524963299</v>
      </c>
      <c r="F2228" s="1">
        <f>Tabla1[[#This Row],[tiempo]]/(IF(Tabla1[[#This Row],[tamanho]]=$I$3,$L$3,IF(Tabla1[[#This Row],[tamanho]]=$I$4,$L$4,IF(Tabla1[[#This Row],[tamanho]]=$I$5,$L$5,IF(Tabla1[[#This Row],[tamanho]]=$I$6,$L$6,0))))*IF(C2228="8_1",9,25))</f>
        <v>1.040485874690845E-6</v>
      </c>
    </row>
    <row r="2229" spans="1:6" ht="12.75" x14ac:dyDescent="0.2">
      <c r="A2229" s="1">
        <v>92</v>
      </c>
      <c r="B2229" s="1">
        <v>4</v>
      </c>
      <c r="C2229" s="1" t="s">
        <v>7</v>
      </c>
      <c r="D2229" s="1" t="s">
        <v>6</v>
      </c>
      <c r="E2229" s="1">
        <v>7.7304241657257</v>
      </c>
      <c r="F2229" s="1">
        <f>Tabla1[[#This Row],[tiempo]]/(IF(Tabla1[[#This Row],[tamanho]]=$I$3,$L$3,IF(Tabla1[[#This Row],[tamanho]]=$I$4,$L$4,IF(Tabla1[[#This Row],[tamanho]]=$I$5,$L$5,IF(Tabla1[[#This Row],[tamanho]]=$I$6,$L$6,0))))*IF(C2229="8_1",9,25))</f>
        <v>4.2024423198740426E-7</v>
      </c>
    </row>
    <row r="2230" spans="1:6" ht="12.75" x14ac:dyDescent="0.2">
      <c r="A2230" s="1">
        <v>92</v>
      </c>
      <c r="B2230" s="1">
        <v>4</v>
      </c>
      <c r="C2230" s="1" t="s">
        <v>8</v>
      </c>
      <c r="D2230" s="1" t="s">
        <v>6</v>
      </c>
      <c r="E2230" s="1">
        <v>7.7366926670074401</v>
      </c>
      <c r="F2230" s="1">
        <f>Tabla1[[#This Row],[tiempo]]/(IF(Tabla1[[#This Row],[tamanho]]=$I$3,$L$3,IF(Tabla1[[#This Row],[tamanho]]=$I$4,$L$4,IF(Tabla1[[#This Row],[tamanho]]=$I$5,$L$5,IF(Tabla1[[#This Row],[tamanho]]=$I$6,$L$6,0))))*IF(C2230="8_1",9,25))</f>
        <v>4.2058500261659383E-7</v>
      </c>
    </row>
    <row r="2231" spans="1:6" ht="12.75" x14ac:dyDescent="0.2">
      <c r="A2231" s="1">
        <v>92</v>
      </c>
      <c r="B2231" s="1">
        <v>4</v>
      </c>
      <c r="C2231" s="1" t="s">
        <v>5</v>
      </c>
      <c r="D2231" s="1" t="s">
        <v>9</v>
      </c>
      <c r="E2231" s="1">
        <v>6.8845093250274596</v>
      </c>
      <c r="F2231" s="1">
        <f>Tabla1[[#This Row],[tiempo]]/(IF(Tabla1[[#This Row],[tamanho]]=$I$3,$L$3,IF(Tabla1[[#This Row],[tamanho]]=$I$4,$L$4,IF(Tabla1[[#This Row],[tamanho]]=$I$5,$L$5,IF(Tabla1[[#This Row],[tamanho]]=$I$6,$L$6,0))))*IF(C2231="8_1",9,25))</f>
        <v>1.0396063627881465E-6</v>
      </c>
    </row>
    <row r="2232" spans="1:6" ht="12.75" x14ac:dyDescent="0.2">
      <c r="A2232" s="1">
        <v>92</v>
      </c>
      <c r="B2232" s="1">
        <v>4</v>
      </c>
      <c r="C2232" s="1" t="s">
        <v>7</v>
      </c>
      <c r="D2232" s="1" t="s">
        <v>9</v>
      </c>
      <c r="E2232" s="1">
        <v>7.7090442180633501</v>
      </c>
      <c r="F2232" s="1">
        <f>Tabla1[[#This Row],[tiempo]]/(IF(Tabla1[[#This Row],[tamanho]]=$I$3,$L$3,IF(Tabla1[[#This Row],[tamanho]]=$I$4,$L$4,IF(Tabla1[[#This Row],[tamanho]]=$I$5,$L$5,IF(Tabla1[[#This Row],[tamanho]]=$I$6,$L$6,0))))*IF(C2232="8_1",9,25))</f>
        <v>4.1908196721477622E-7</v>
      </c>
    </row>
    <row r="2233" spans="1:6" ht="12.75" x14ac:dyDescent="0.2">
      <c r="A2233" s="1">
        <v>92</v>
      </c>
      <c r="B2233" s="1">
        <v>4</v>
      </c>
      <c r="C2233" s="1" t="s">
        <v>8</v>
      </c>
      <c r="D2233" s="1" t="s">
        <v>9</v>
      </c>
      <c r="E2233" s="1">
        <v>7.7731015682220397</v>
      </c>
      <c r="F2233" s="1">
        <f>Tabla1[[#This Row],[tiempo]]/(IF(Tabla1[[#This Row],[tamanho]]=$I$3,$L$3,IF(Tabla1[[#This Row],[tamanho]]=$I$4,$L$4,IF(Tabla1[[#This Row],[tamanho]]=$I$5,$L$5,IF(Tabla1[[#This Row],[tamanho]]=$I$6,$L$6,0))))*IF(C2233="8_1",9,25))</f>
        <v>4.2256427702643452E-7</v>
      </c>
    </row>
    <row r="2234" spans="1:6" ht="12.75" x14ac:dyDescent="0.2">
      <c r="A2234" s="1">
        <v>93</v>
      </c>
      <c r="B2234" s="1">
        <v>1</v>
      </c>
      <c r="C2234" s="1" t="s">
        <v>5</v>
      </c>
      <c r="D2234" s="1" t="s">
        <v>6</v>
      </c>
      <c r="E2234" s="1">
        <v>0.41371750831603998</v>
      </c>
      <c r="F2234" s="1">
        <f>Tabla1[[#This Row],[tiempo]]/(IF(Tabla1[[#This Row],[tamanho]]=$I$3,$L$3,IF(Tabla1[[#This Row],[tamanho]]=$I$4,$L$4,IF(Tabla1[[#This Row],[tamanho]]=$I$5,$L$5,IF(Tabla1[[#This Row],[tamanho]]=$I$6,$L$6,0))))*IF(C2234="8_1",9,25))</f>
        <v>1.7050039699979807E-6</v>
      </c>
    </row>
    <row r="2235" spans="1:6" ht="12.75" x14ac:dyDescent="0.2">
      <c r="A2235" s="1">
        <v>93</v>
      </c>
      <c r="B2235" s="1">
        <v>1</v>
      </c>
      <c r="C2235" s="1" t="s">
        <v>7</v>
      </c>
      <c r="D2235" s="1" t="s">
        <v>6</v>
      </c>
      <c r="E2235" s="1">
        <v>0.46117377281188898</v>
      </c>
      <c r="F2235" s="1">
        <f>Tabla1[[#This Row],[tiempo]]/(IF(Tabla1[[#This Row],[tamanho]]=$I$3,$L$3,IF(Tabla1[[#This Row],[tamanho]]=$I$4,$L$4,IF(Tabla1[[#This Row],[tamanho]]=$I$5,$L$5,IF(Tabla1[[#This Row],[tamanho]]=$I$6,$L$6,0))))*IF(C2235="8_1",9,25))</f>
        <v>6.8420870562944847E-7</v>
      </c>
    </row>
    <row r="2236" spans="1:6" ht="12.75" x14ac:dyDescent="0.2">
      <c r="A2236" s="1">
        <v>93</v>
      </c>
      <c r="B2236" s="1">
        <v>1</v>
      </c>
      <c r="C2236" s="1" t="s">
        <v>8</v>
      </c>
      <c r="D2236" s="1" t="s">
        <v>6</v>
      </c>
      <c r="E2236" s="1">
        <v>0.46588468551635698</v>
      </c>
      <c r="F2236" s="1">
        <f>Tabla1[[#This Row],[tiempo]]/(IF(Tabla1[[#This Row],[tamanho]]=$I$3,$L$3,IF(Tabla1[[#This Row],[tamanho]]=$I$4,$L$4,IF(Tabla1[[#This Row],[tamanho]]=$I$5,$L$5,IF(Tabla1[[#This Row],[tamanho]]=$I$6,$L$6,0))))*IF(C2236="8_1",9,25))</f>
        <v>6.9119793110990979E-7</v>
      </c>
    </row>
    <row r="2237" spans="1:6" ht="12.75" x14ac:dyDescent="0.2">
      <c r="A2237" s="1">
        <v>93</v>
      </c>
      <c r="B2237" s="1">
        <v>1</v>
      </c>
      <c r="C2237" s="1" t="s">
        <v>5</v>
      </c>
      <c r="D2237" s="1" t="s">
        <v>9</v>
      </c>
      <c r="E2237" s="1">
        <v>0.40644049644470198</v>
      </c>
      <c r="F2237" s="1">
        <f>Tabla1[[#This Row],[tiempo]]/(IF(Tabla1[[#This Row],[tamanho]]=$I$3,$L$3,IF(Tabla1[[#This Row],[tamanho]]=$I$4,$L$4,IF(Tabla1[[#This Row],[tamanho]]=$I$5,$L$5,IF(Tabla1[[#This Row],[tamanho]]=$I$6,$L$6,0))))*IF(C2237="8_1",9,25))</f>
        <v>1.6750141003865748E-6</v>
      </c>
    </row>
    <row r="2238" spans="1:6" ht="12.75" x14ac:dyDescent="0.2">
      <c r="A2238" s="1">
        <v>93</v>
      </c>
      <c r="B2238" s="1">
        <v>1</v>
      </c>
      <c r="C2238" s="1" t="s">
        <v>7</v>
      </c>
      <c r="D2238" s="1" t="s">
        <v>9</v>
      </c>
      <c r="E2238" s="1">
        <v>0.45824551582336398</v>
      </c>
      <c r="F2238" s="1">
        <f>Tabla1[[#This Row],[tiempo]]/(IF(Tabla1[[#This Row],[tamanho]]=$I$3,$L$3,IF(Tabla1[[#This Row],[tamanho]]=$I$4,$L$4,IF(Tabla1[[#This Row],[tamanho]]=$I$5,$L$5,IF(Tabla1[[#This Row],[tamanho]]=$I$6,$L$6,0))))*IF(C2238="8_1",9,25))</f>
        <v>6.7986427183467075E-7</v>
      </c>
    </row>
    <row r="2239" spans="1:6" ht="12.75" x14ac:dyDescent="0.2">
      <c r="A2239" s="1">
        <v>93</v>
      </c>
      <c r="B2239" s="1">
        <v>1</v>
      </c>
      <c r="C2239" s="1" t="s">
        <v>8</v>
      </c>
      <c r="D2239" s="1" t="s">
        <v>9</v>
      </c>
      <c r="E2239" s="1">
        <v>0.46345448493957497</v>
      </c>
      <c r="F2239" s="1">
        <f>Tabla1[[#This Row],[tiempo]]/(IF(Tabla1[[#This Row],[tamanho]]=$I$3,$L$3,IF(Tabla1[[#This Row],[tamanho]]=$I$4,$L$4,IF(Tabla1[[#This Row],[tamanho]]=$I$5,$L$5,IF(Tabla1[[#This Row],[tamanho]]=$I$6,$L$6,0))))*IF(C2239="8_1",9,25))</f>
        <v>6.8759242600730676E-7</v>
      </c>
    </row>
    <row r="2240" spans="1:6" ht="12.75" x14ac:dyDescent="0.2">
      <c r="A2240" s="1">
        <v>93</v>
      </c>
      <c r="B2240" s="1">
        <v>2</v>
      </c>
      <c r="C2240" s="1" t="s">
        <v>5</v>
      </c>
      <c r="D2240" s="1" t="s">
        <v>6</v>
      </c>
      <c r="E2240" s="1">
        <v>1.68997526168823</v>
      </c>
      <c r="F2240" s="1">
        <f>Tabla1[[#This Row],[tiempo]]/(IF(Tabla1[[#This Row],[tamanho]]=$I$3,$L$3,IF(Tabla1[[#This Row],[tamanho]]=$I$4,$L$4,IF(Tabla1[[#This Row],[tamanho]]=$I$5,$L$5,IF(Tabla1[[#This Row],[tamanho]]=$I$6,$L$6,0))))*IF(C2240="8_1",9,25))</f>
        <v>1.0231744917583178E-6</v>
      </c>
    </row>
    <row r="2241" spans="1:6" ht="12.75" x14ac:dyDescent="0.2">
      <c r="A2241" s="1">
        <v>93</v>
      </c>
      <c r="B2241" s="1">
        <v>2</v>
      </c>
      <c r="C2241" s="1" t="s">
        <v>7</v>
      </c>
      <c r="D2241" s="1" t="s">
        <v>6</v>
      </c>
      <c r="E2241" s="1">
        <v>1.8917546272277801</v>
      </c>
      <c r="F2241" s="1">
        <f>Tabla1[[#This Row],[tiempo]]/(IF(Tabla1[[#This Row],[tamanho]]=$I$3,$L$3,IF(Tabla1[[#This Row],[tamanho]]=$I$4,$L$4,IF(Tabla1[[#This Row],[tamanho]]=$I$5,$L$5,IF(Tabla1[[#This Row],[tamanho]]=$I$6,$L$6,0))))*IF(C2241="8_1",9,25))</f>
        <v>4.1232214714917667E-7</v>
      </c>
    </row>
    <row r="2242" spans="1:6" ht="12.75" x14ac:dyDescent="0.2">
      <c r="A2242" s="1">
        <v>93</v>
      </c>
      <c r="B2242" s="1">
        <v>2</v>
      </c>
      <c r="C2242" s="1" t="s">
        <v>8</v>
      </c>
      <c r="D2242" s="1" t="s">
        <v>6</v>
      </c>
      <c r="E2242" s="1">
        <v>1.8944406509399401</v>
      </c>
      <c r="F2242" s="1">
        <f>Tabla1[[#This Row],[tiempo]]/(IF(Tabla1[[#This Row],[tamanho]]=$I$3,$L$3,IF(Tabla1[[#This Row],[tamanho]]=$I$4,$L$4,IF(Tabla1[[#This Row],[tamanho]]=$I$5,$L$5,IF(Tabla1[[#This Row],[tamanho]]=$I$6,$L$6,0))))*IF(C2242="8_1",9,25))</f>
        <v>4.1290758621635338E-7</v>
      </c>
    </row>
    <row r="2243" spans="1:6" ht="12.75" x14ac:dyDescent="0.2">
      <c r="A2243" s="1">
        <v>93</v>
      </c>
      <c r="B2243" s="1">
        <v>2</v>
      </c>
      <c r="C2243" s="1" t="s">
        <v>5</v>
      </c>
      <c r="D2243" s="1" t="s">
        <v>9</v>
      </c>
      <c r="E2243" s="1">
        <v>1.6932065486907899</v>
      </c>
      <c r="F2243" s="1">
        <f>Tabla1[[#This Row],[tiempo]]/(IF(Tabla1[[#This Row],[tamanho]]=$I$3,$L$3,IF(Tabla1[[#This Row],[tamanho]]=$I$4,$L$4,IF(Tabla1[[#This Row],[tamanho]]=$I$5,$L$5,IF(Tabla1[[#This Row],[tamanho]]=$I$6,$L$6,0))))*IF(C2243="8_1",9,25))</f>
        <v>1.0251308342631583E-6</v>
      </c>
    </row>
    <row r="2244" spans="1:6" ht="12.75" x14ac:dyDescent="0.2">
      <c r="A2244" s="1">
        <v>93</v>
      </c>
      <c r="B2244" s="1">
        <v>2</v>
      </c>
      <c r="C2244" s="1" t="s">
        <v>7</v>
      </c>
      <c r="D2244" s="1" t="s">
        <v>9</v>
      </c>
      <c r="E2244" s="1">
        <v>1.8879475593566799</v>
      </c>
      <c r="F2244" s="1">
        <f>Tabla1[[#This Row],[tiempo]]/(IF(Tabla1[[#This Row],[tamanho]]=$I$3,$L$3,IF(Tabla1[[#This Row],[tamanho]]=$I$4,$L$4,IF(Tabla1[[#This Row],[tamanho]]=$I$5,$L$5,IF(Tabla1[[#This Row],[tamanho]]=$I$6,$L$6,0))))*IF(C2244="8_1",9,25))</f>
        <v>4.1149236807721796E-7</v>
      </c>
    </row>
    <row r="2245" spans="1:6" ht="12.75" x14ac:dyDescent="0.2">
      <c r="A2245" s="1">
        <v>93</v>
      </c>
      <c r="B2245" s="1">
        <v>2</v>
      </c>
      <c r="C2245" s="1" t="s">
        <v>8</v>
      </c>
      <c r="D2245" s="1" t="s">
        <v>9</v>
      </c>
      <c r="E2245" s="1">
        <v>1.9052369594573899</v>
      </c>
      <c r="F2245" s="1">
        <f>Tabla1[[#This Row],[tiempo]]/(IF(Tabla1[[#This Row],[tamanho]]=$I$3,$L$3,IF(Tabla1[[#This Row],[tamanho]]=$I$4,$L$4,IF(Tabla1[[#This Row],[tamanho]]=$I$5,$L$5,IF(Tabla1[[#This Row],[tamanho]]=$I$6,$L$6,0))))*IF(C2245="8_1",9,25))</f>
        <v>4.1526072284682818E-7</v>
      </c>
    </row>
    <row r="2246" spans="1:6" ht="12.75" x14ac:dyDescent="0.2">
      <c r="A2246" s="1">
        <v>93</v>
      </c>
      <c r="B2246" s="1">
        <v>3</v>
      </c>
      <c r="C2246" s="1" t="s">
        <v>5</v>
      </c>
      <c r="D2246" s="1" t="s">
        <v>6</v>
      </c>
      <c r="E2246" s="1">
        <v>3.8397073745727499</v>
      </c>
      <c r="F2246" s="1">
        <f>Tabla1[[#This Row],[tiempo]]/(IF(Tabla1[[#This Row],[tamanho]]=$I$3,$L$3,IF(Tabla1[[#This Row],[tamanho]]=$I$4,$L$4,IF(Tabla1[[#This Row],[tamanho]]=$I$5,$L$5,IF(Tabla1[[#This Row],[tamanho]]=$I$6,$L$6,0))))*IF(C2246="8_1",9,25))</f>
        <v>1.0323800498249392E-6</v>
      </c>
    </row>
    <row r="2247" spans="1:6" ht="12.75" x14ac:dyDescent="0.2">
      <c r="A2247" s="1">
        <v>93</v>
      </c>
      <c r="B2247" s="1">
        <v>3</v>
      </c>
      <c r="C2247" s="1" t="s">
        <v>7</v>
      </c>
      <c r="D2247" s="1" t="s">
        <v>6</v>
      </c>
      <c r="E2247" s="1">
        <v>4.3249020576476997</v>
      </c>
      <c r="F2247" s="1">
        <f>Tabla1[[#This Row],[tiempo]]/(IF(Tabla1[[#This Row],[tamanho]]=$I$3,$L$3,IF(Tabla1[[#This Row],[tamanho]]=$I$4,$L$4,IF(Tabla1[[#This Row],[tamanho]]=$I$5,$L$5,IF(Tabla1[[#This Row],[tamanho]]=$I$6,$L$6,0))))*IF(C2247="8_1",9,25))</f>
        <v>4.1862026967961026E-7</v>
      </c>
    </row>
    <row r="2248" spans="1:6" ht="12.75" x14ac:dyDescent="0.2">
      <c r="A2248" s="1">
        <v>93</v>
      </c>
      <c r="B2248" s="1">
        <v>3</v>
      </c>
      <c r="C2248" s="1" t="s">
        <v>8</v>
      </c>
      <c r="D2248" s="1" t="s">
        <v>6</v>
      </c>
      <c r="E2248" s="1">
        <v>4.3401947021484304</v>
      </c>
      <c r="F2248" s="1">
        <f>Tabla1[[#This Row],[tiempo]]/(IF(Tabla1[[#This Row],[tamanho]]=$I$3,$L$3,IF(Tabla1[[#This Row],[tamanho]]=$I$4,$L$4,IF(Tabla1[[#This Row],[tamanho]]=$I$5,$L$5,IF(Tabla1[[#This Row],[tamanho]]=$I$6,$L$6,0))))*IF(C2248="8_1",9,25))</f>
        <v>4.2010049070650959E-7</v>
      </c>
    </row>
    <row r="2249" spans="1:6" ht="12.75" x14ac:dyDescent="0.2">
      <c r="A2249" s="1">
        <v>93</v>
      </c>
      <c r="B2249" s="1">
        <v>3</v>
      </c>
      <c r="C2249" s="1" t="s">
        <v>5</v>
      </c>
      <c r="D2249" s="1" t="s">
        <v>9</v>
      </c>
      <c r="E2249" s="1">
        <v>3.8505947589874201</v>
      </c>
      <c r="F2249" s="1">
        <f>Tabla1[[#This Row],[tiempo]]/(IF(Tabla1[[#This Row],[tamanho]]=$I$3,$L$3,IF(Tabla1[[#This Row],[tamanho]]=$I$4,$L$4,IF(Tabla1[[#This Row],[tamanho]]=$I$5,$L$5,IF(Tabla1[[#This Row],[tamanho]]=$I$6,$L$6,0))))*IF(C2249="8_1",9,25))</f>
        <v>1.0353073349974793E-6</v>
      </c>
    </row>
    <row r="2250" spans="1:6" ht="12.75" x14ac:dyDescent="0.2">
      <c r="A2250" s="1">
        <v>93</v>
      </c>
      <c r="B2250" s="1">
        <v>3</v>
      </c>
      <c r="C2250" s="1" t="s">
        <v>7</v>
      </c>
      <c r="D2250" s="1" t="s">
        <v>9</v>
      </c>
      <c r="E2250" s="1">
        <v>4.3407413959503103</v>
      </c>
      <c r="F2250" s="1">
        <f>Tabla1[[#This Row],[tiempo]]/(IF(Tabla1[[#This Row],[tamanho]]=$I$3,$L$3,IF(Tabla1[[#This Row],[tamanho]]=$I$4,$L$4,IF(Tabla1[[#This Row],[tamanho]]=$I$5,$L$5,IF(Tabla1[[#This Row],[tamanho]]=$I$6,$L$6,0))))*IF(C2250="8_1",9,25))</f>
        <v>4.2015340684281158E-7</v>
      </c>
    </row>
    <row r="2251" spans="1:6" ht="12.75" x14ac:dyDescent="0.2">
      <c r="A2251" s="1">
        <v>93</v>
      </c>
      <c r="B2251" s="1">
        <v>3</v>
      </c>
      <c r="C2251" s="1" t="s">
        <v>8</v>
      </c>
      <c r="D2251" s="1" t="s">
        <v>9</v>
      </c>
      <c r="E2251" s="1">
        <v>4.37680864334106</v>
      </c>
      <c r="F2251" s="1">
        <f>Tabla1[[#This Row],[tiempo]]/(IF(Tabla1[[#This Row],[tamanho]]=$I$3,$L$3,IF(Tabla1[[#This Row],[tamanho]]=$I$4,$L$4,IF(Tabla1[[#This Row],[tamanho]]=$I$5,$L$5,IF(Tabla1[[#This Row],[tamanho]]=$I$6,$L$6,0))))*IF(C2251="8_1",9,25))</f>
        <v>4.2364446412643681E-7</v>
      </c>
    </row>
    <row r="2252" spans="1:6" ht="12.75" x14ac:dyDescent="0.2">
      <c r="A2252" s="1">
        <v>93</v>
      </c>
      <c r="B2252" s="1">
        <v>4</v>
      </c>
      <c r="C2252" s="1" t="s">
        <v>5</v>
      </c>
      <c r="D2252" s="1" t="s">
        <v>6</v>
      </c>
      <c r="E2252" s="1">
        <v>6.9038517475128103</v>
      </c>
      <c r="F2252" s="1">
        <f>Tabla1[[#This Row],[tiempo]]/(IF(Tabla1[[#This Row],[tamanho]]=$I$3,$L$3,IF(Tabla1[[#This Row],[tamanho]]=$I$4,$L$4,IF(Tabla1[[#This Row],[tamanho]]=$I$5,$L$5,IF(Tabla1[[#This Row],[tamanho]]=$I$6,$L$6,0))))*IF(C2252="8_1",9,25))</f>
        <v>1.0425271962910377E-6</v>
      </c>
    </row>
    <row r="2253" spans="1:6" ht="12.75" x14ac:dyDescent="0.2">
      <c r="A2253" s="1">
        <v>93</v>
      </c>
      <c r="B2253" s="1">
        <v>4</v>
      </c>
      <c r="C2253" s="1" t="s">
        <v>7</v>
      </c>
      <c r="D2253" s="1" t="s">
        <v>6</v>
      </c>
      <c r="E2253" s="1">
        <v>7.7695672512054399</v>
      </c>
      <c r="F2253" s="1">
        <f>Tabla1[[#This Row],[tiempo]]/(IF(Tabla1[[#This Row],[tamanho]]=$I$3,$L$3,IF(Tabla1[[#This Row],[tamanho]]=$I$4,$L$4,IF(Tabla1[[#This Row],[tamanho]]=$I$5,$L$5,IF(Tabla1[[#This Row],[tamanho]]=$I$6,$L$6,0))))*IF(C2253="8_1",9,25))</f>
        <v>4.2237214315274279E-7</v>
      </c>
    </row>
    <row r="2254" spans="1:6" ht="12.75" x14ac:dyDescent="0.2">
      <c r="A2254" s="1">
        <v>93</v>
      </c>
      <c r="B2254" s="1">
        <v>4</v>
      </c>
      <c r="C2254" s="1" t="s">
        <v>8</v>
      </c>
      <c r="D2254" s="1" t="s">
        <v>6</v>
      </c>
      <c r="E2254" s="1">
        <v>7.7491433620452801</v>
      </c>
      <c r="F2254" s="1">
        <f>Tabla1[[#This Row],[tiempo]]/(IF(Tabla1[[#This Row],[tamanho]]=$I$3,$L$3,IF(Tabla1[[#This Row],[tamanho]]=$I$4,$L$4,IF(Tabla1[[#This Row],[tamanho]]=$I$5,$L$5,IF(Tabla1[[#This Row],[tamanho]]=$I$6,$L$6,0))))*IF(C2254="8_1",9,25))</f>
        <v>4.2126185199273611E-7</v>
      </c>
    </row>
    <row r="2255" spans="1:6" ht="12.75" x14ac:dyDescent="0.2">
      <c r="A2255" s="1">
        <v>93</v>
      </c>
      <c r="B2255" s="1">
        <v>4</v>
      </c>
      <c r="C2255" s="1" t="s">
        <v>5</v>
      </c>
      <c r="D2255" s="1" t="s">
        <v>9</v>
      </c>
      <c r="E2255" s="1">
        <v>6.9020040035247803</v>
      </c>
      <c r="F2255" s="1">
        <f>Tabla1[[#This Row],[tiempo]]/(IF(Tabla1[[#This Row],[tamanho]]=$I$3,$L$3,IF(Tabla1[[#This Row],[tamanho]]=$I$4,$L$4,IF(Tabla1[[#This Row],[tamanho]]=$I$5,$L$5,IF(Tabla1[[#This Row],[tamanho]]=$I$6,$L$6,0))))*IF(C2255="8_1",9,25))</f>
        <v>1.0422481747491865E-6</v>
      </c>
    </row>
    <row r="2256" spans="1:6" ht="12.75" x14ac:dyDescent="0.2">
      <c r="A2256" s="1">
        <v>93</v>
      </c>
      <c r="B2256" s="1">
        <v>4</v>
      </c>
      <c r="C2256" s="1" t="s">
        <v>7</v>
      </c>
      <c r="D2256" s="1" t="s">
        <v>9</v>
      </c>
      <c r="E2256" s="1">
        <v>7.7387602329254097</v>
      </c>
      <c r="F2256" s="1">
        <f>Tabla1[[#This Row],[tiempo]]/(IF(Tabla1[[#This Row],[tamanho]]=$I$3,$L$3,IF(Tabla1[[#This Row],[tamanho]]=$I$4,$L$4,IF(Tabla1[[#This Row],[tamanho]]=$I$5,$L$5,IF(Tabla1[[#This Row],[tamanho]]=$I$6,$L$6,0))))*IF(C2256="8_1",9,25))</f>
        <v>4.2069740041426359E-7</v>
      </c>
    </row>
    <row r="2257" spans="1:6" ht="12.75" x14ac:dyDescent="0.2">
      <c r="A2257" s="1">
        <v>93</v>
      </c>
      <c r="B2257" s="1">
        <v>4</v>
      </c>
      <c r="C2257" s="1" t="s">
        <v>8</v>
      </c>
      <c r="D2257" s="1" t="s">
        <v>9</v>
      </c>
      <c r="E2257" s="1">
        <v>7.8357307910919101</v>
      </c>
      <c r="F2257" s="1">
        <f>Tabla1[[#This Row],[tiempo]]/(IF(Tabla1[[#This Row],[tamanho]]=$I$3,$L$3,IF(Tabla1[[#This Row],[tamanho]]=$I$4,$L$4,IF(Tabla1[[#This Row],[tamanho]]=$I$5,$L$5,IF(Tabla1[[#This Row],[tamanho]]=$I$6,$L$6,0))))*IF(C2257="8_1",9,25))</f>
        <v>4.2596895044417651E-7</v>
      </c>
    </row>
    <row r="2258" spans="1:6" ht="12.75" x14ac:dyDescent="0.2">
      <c r="A2258" s="1">
        <v>94</v>
      </c>
      <c r="B2258" s="1">
        <v>1</v>
      </c>
      <c r="C2258" s="1" t="s">
        <v>5</v>
      </c>
      <c r="D2258" s="1" t="s">
        <v>6</v>
      </c>
      <c r="E2258" s="1">
        <v>0.411163330078125</v>
      </c>
      <c r="F2258" s="1">
        <f>Tabla1[[#This Row],[tiempo]]/(IF(Tabla1[[#This Row],[tamanho]]=$I$3,$L$3,IF(Tabla1[[#This Row],[tamanho]]=$I$4,$L$4,IF(Tabla1[[#This Row],[tamanho]]=$I$5,$L$5,IF(Tabla1[[#This Row],[tamanho]]=$I$6,$L$6,0))))*IF(C2258="8_1",9,25))</f>
        <v>1.694477743893958E-6</v>
      </c>
    </row>
    <row r="2259" spans="1:6" ht="12.75" x14ac:dyDescent="0.2">
      <c r="A2259" s="1">
        <v>94</v>
      </c>
      <c r="B2259" s="1">
        <v>1</v>
      </c>
      <c r="C2259" s="1" t="s">
        <v>7</v>
      </c>
      <c r="D2259" s="1" t="s">
        <v>6</v>
      </c>
      <c r="E2259" s="1">
        <v>0.46079349517822199</v>
      </c>
      <c r="F2259" s="1">
        <f>Tabla1[[#This Row],[tiempo]]/(IF(Tabla1[[#This Row],[tamanho]]=$I$3,$L$3,IF(Tabla1[[#This Row],[tamanho]]=$I$4,$L$4,IF(Tabla1[[#This Row],[tamanho]]=$I$5,$L$5,IF(Tabla1[[#This Row],[tamanho]]=$I$6,$L$6,0))))*IF(C2259="8_1",9,25))</f>
        <v>6.8364451641737614E-7</v>
      </c>
    </row>
    <row r="2260" spans="1:6" ht="12.75" x14ac:dyDescent="0.2">
      <c r="A2260" s="1">
        <v>94</v>
      </c>
      <c r="B2260" s="1">
        <v>1</v>
      </c>
      <c r="C2260" s="1" t="s">
        <v>8</v>
      </c>
      <c r="D2260" s="1" t="s">
        <v>6</v>
      </c>
      <c r="E2260" s="1">
        <v>0.46209335327148399</v>
      </c>
      <c r="F2260" s="1">
        <f>Tabla1[[#This Row],[tiempo]]/(IF(Tabla1[[#This Row],[tamanho]]=$I$3,$L$3,IF(Tabla1[[#This Row],[tamanho]]=$I$4,$L$4,IF(Tabla1[[#This Row],[tamanho]]=$I$5,$L$5,IF(Tabla1[[#This Row],[tamanho]]=$I$6,$L$6,0))))*IF(C2260="8_1",9,25))</f>
        <v>6.8557301772409628E-7</v>
      </c>
    </row>
    <row r="2261" spans="1:6" ht="12.75" x14ac:dyDescent="0.2">
      <c r="A2261" s="1">
        <v>94</v>
      </c>
      <c r="B2261" s="1">
        <v>1</v>
      </c>
      <c r="C2261" s="1" t="s">
        <v>5</v>
      </c>
      <c r="D2261" s="1" t="s">
        <v>9</v>
      </c>
      <c r="E2261" s="1">
        <v>0.40841865539550698</v>
      </c>
      <c r="F2261" s="1">
        <f>Tabla1[[#This Row],[tiempo]]/(IF(Tabla1[[#This Row],[tamanho]]=$I$3,$L$3,IF(Tabla1[[#This Row],[tamanho]]=$I$4,$L$4,IF(Tabla1[[#This Row],[tamanho]]=$I$5,$L$5,IF(Tabla1[[#This Row],[tamanho]]=$I$6,$L$6,0))))*IF(C2261="8_1",9,25))</f>
        <v>1.6831664478135372E-6</v>
      </c>
    </row>
    <row r="2262" spans="1:6" ht="12.75" x14ac:dyDescent="0.2">
      <c r="A2262" s="1">
        <v>94</v>
      </c>
      <c r="B2262" s="1">
        <v>1</v>
      </c>
      <c r="C2262" s="1" t="s">
        <v>7</v>
      </c>
      <c r="D2262" s="1" t="s">
        <v>9</v>
      </c>
      <c r="E2262" s="1">
        <v>0.45837974548339799</v>
      </c>
      <c r="F2262" s="1">
        <f>Tabla1[[#This Row],[tiempo]]/(IF(Tabla1[[#This Row],[tamanho]]=$I$3,$L$3,IF(Tabla1[[#This Row],[tamanho]]=$I$4,$L$4,IF(Tabla1[[#This Row],[tamanho]]=$I$5,$L$5,IF(Tabla1[[#This Row],[tamanho]]=$I$6,$L$6,0))))*IF(C2262="8_1",9,25))</f>
        <v>6.8006341824620455E-7</v>
      </c>
    </row>
    <row r="2263" spans="1:6" ht="12.75" x14ac:dyDescent="0.2">
      <c r="A2263" s="1">
        <v>94</v>
      </c>
      <c r="B2263" s="1">
        <v>1</v>
      </c>
      <c r="C2263" s="1" t="s">
        <v>8</v>
      </c>
      <c r="D2263" s="1" t="s">
        <v>9</v>
      </c>
      <c r="E2263" s="1">
        <v>0.46333384513854903</v>
      </c>
      <c r="F2263" s="1">
        <f>Tabla1[[#This Row],[tiempo]]/(IF(Tabla1[[#This Row],[tamanho]]=$I$3,$L$3,IF(Tabla1[[#This Row],[tamanho]]=$I$4,$L$4,IF(Tabla1[[#This Row],[tamanho]]=$I$5,$L$5,IF(Tabla1[[#This Row],[tamanho]]=$I$6,$L$6,0))))*IF(C2263="8_1",9,25))</f>
        <v>6.8741344184347618E-7</v>
      </c>
    </row>
    <row r="2264" spans="1:6" ht="12.75" x14ac:dyDescent="0.2">
      <c r="A2264" s="1">
        <v>94</v>
      </c>
      <c r="B2264" s="1">
        <v>2</v>
      </c>
      <c r="C2264" s="1" t="s">
        <v>5</v>
      </c>
      <c r="D2264" s="1" t="s">
        <v>6</v>
      </c>
      <c r="E2264" s="1">
        <v>1.69812583923339</v>
      </c>
      <c r="F2264" s="1">
        <f>Tabla1[[#This Row],[tiempo]]/(IF(Tabla1[[#This Row],[tamanho]]=$I$3,$L$3,IF(Tabla1[[#This Row],[tamanho]]=$I$4,$L$4,IF(Tabla1[[#This Row],[tamanho]]=$I$5,$L$5,IF(Tabla1[[#This Row],[tamanho]]=$I$6,$L$6,0))))*IF(C2264="8_1",9,25))</f>
        <v>1.0281091575054216E-6</v>
      </c>
    </row>
    <row r="2265" spans="1:6" ht="12.75" x14ac:dyDescent="0.2">
      <c r="A2265" s="1">
        <v>94</v>
      </c>
      <c r="B2265" s="1">
        <v>2</v>
      </c>
      <c r="C2265" s="1" t="s">
        <v>7</v>
      </c>
      <c r="D2265" s="1" t="s">
        <v>6</v>
      </c>
      <c r="E2265" s="1">
        <v>1.92155909538269</v>
      </c>
      <c r="F2265" s="1">
        <f>Tabla1[[#This Row],[tiempo]]/(IF(Tabla1[[#This Row],[tamanho]]=$I$3,$L$3,IF(Tabla1[[#This Row],[tamanho]]=$I$4,$L$4,IF(Tabla1[[#This Row],[tamanho]]=$I$5,$L$5,IF(Tabla1[[#This Row],[tamanho]]=$I$6,$L$6,0))))*IF(C2265="8_1",9,25))</f>
        <v>4.1881825511550439E-7</v>
      </c>
    </row>
    <row r="2266" spans="1:6" ht="12.75" x14ac:dyDescent="0.2">
      <c r="A2266" s="1">
        <v>94</v>
      </c>
      <c r="B2266" s="1">
        <v>2</v>
      </c>
      <c r="C2266" s="1" t="s">
        <v>8</v>
      </c>
      <c r="D2266" s="1" t="s">
        <v>6</v>
      </c>
      <c r="E2266" s="1">
        <v>1.91534376144409</v>
      </c>
      <c r="F2266" s="1">
        <f>Tabla1[[#This Row],[tiempo]]/(IF(Tabla1[[#This Row],[tamanho]]=$I$3,$L$3,IF(Tabla1[[#This Row],[tamanho]]=$I$4,$L$4,IF(Tabla1[[#This Row],[tamanho]]=$I$5,$L$5,IF(Tabla1[[#This Row],[tamanho]]=$I$6,$L$6,0))))*IF(C2266="8_1",9,25))</f>
        <v>4.1746357634378223E-7</v>
      </c>
    </row>
    <row r="2267" spans="1:6" ht="12.75" x14ac:dyDescent="0.2">
      <c r="A2267" s="1">
        <v>94</v>
      </c>
      <c r="B2267" s="1">
        <v>2</v>
      </c>
      <c r="C2267" s="1" t="s">
        <v>5</v>
      </c>
      <c r="D2267" s="1" t="s">
        <v>9</v>
      </c>
      <c r="E2267" s="1">
        <v>1.69973373413085</v>
      </c>
      <c r="F2267" s="1">
        <f>Tabla1[[#This Row],[tiempo]]/(IF(Tabla1[[#This Row],[tamanho]]=$I$3,$L$3,IF(Tabla1[[#This Row],[tamanho]]=$I$4,$L$4,IF(Tabla1[[#This Row],[tamanho]]=$I$5,$L$5,IF(Tabla1[[#This Row],[tamanho]]=$I$6,$L$6,0))))*IF(C2267="8_1",9,25))</f>
        <v>1.0290826374620845E-6</v>
      </c>
    </row>
    <row r="2268" spans="1:6" ht="12.75" x14ac:dyDescent="0.2">
      <c r="A2268" s="1">
        <v>94</v>
      </c>
      <c r="B2268" s="1">
        <v>2</v>
      </c>
      <c r="C2268" s="1" t="s">
        <v>7</v>
      </c>
      <c r="D2268" s="1" t="s">
        <v>9</v>
      </c>
      <c r="E2268" s="1">
        <v>1.9002933502197199</v>
      </c>
      <c r="F2268" s="1">
        <f>Tabla1[[#This Row],[tiempo]]/(IF(Tabla1[[#This Row],[tamanho]]=$I$3,$L$3,IF(Tabla1[[#This Row],[tamanho]]=$I$4,$L$4,IF(Tabla1[[#This Row],[tamanho]]=$I$5,$L$5,IF(Tabla1[[#This Row],[tamanho]]=$I$6,$L$6,0))))*IF(C2268="8_1",9,25))</f>
        <v>4.1418322603714432E-7</v>
      </c>
    </row>
    <row r="2269" spans="1:6" ht="12.75" x14ac:dyDescent="0.2">
      <c r="A2269" s="1">
        <v>94</v>
      </c>
      <c r="B2269" s="1">
        <v>2</v>
      </c>
      <c r="C2269" s="1" t="s">
        <v>8</v>
      </c>
      <c r="D2269" s="1" t="s">
        <v>9</v>
      </c>
      <c r="E2269" s="1">
        <v>1.91867423057556</v>
      </c>
      <c r="F2269" s="1">
        <f>Tabla1[[#This Row],[tiempo]]/(IF(Tabla1[[#This Row],[tamanho]]=$I$3,$L$3,IF(Tabla1[[#This Row],[tamanho]]=$I$4,$L$4,IF(Tabla1[[#This Row],[tamanho]]=$I$5,$L$5,IF(Tabla1[[#This Row],[tamanho]]=$I$6,$L$6,0))))*IF(C2269="8_1",9,25))</f>
        <v>4.181894771363782E-7</v>
      </c>
    </row>
    <row r="2270" spans="1:6" ht="12.75" x14ac:dyDescent="0.2">
      <c r="A2270" s="1">
        <v>94</v>
      </c>
      <c r="B2270" s="1">
        <v>3</v>
      </c>
      <c r="C2270" s="1" t="s">
        <v>5</v>
      </c>
      <c r="D2270" s="1" t="s">
        <v>6</v>
      </c>
      <c r="E2270" s="1">
        <v>3.8405394554138099</v>
      </c>
      <c r="F2270" s="1">
        <f>Tabla1[[#This Row],[tiempo]]/(IF(Tabla1[[#This Row],[tamanho]]=$I$3,$L$3,IF(Tabla1[[#This Row],[tamanho]]=$I$4,$L$4,IF(Tabla1[[#This Row],[tamanho]]=$I$5,$L$5,IF(Tabla1[[#This Row],[tamanho]]=$I$6,$L$6,0))))*IF(C2270="8_1",9,25))</f>
        <v>1.0326037709516688E-6</v>
      </c>
    </row>
    <row r="2271" spans="1:6" ht="12.75" x14ac:dyDescent="0.2">
      <c r="A2271" s="1">
        <v>94</v>
      </c>
      <c r="B2271" s="1">
        <v>3</v>
      </c>
      <c r="C2271" s="1" t="s">
        <v>7</v>
      </c>
      <c r="D2271" s="1" t="s">
        <v>6</v>
      </c>
      <c r="E2271" s="1">
        <v>4.3300373554229701</v>
      </c>
      <c r="F2271" s="1">
        <f>Tabla1[[#This Row],[tiempo]]/(IF(Tabla1[[#This Row],[tamanho]]=$I$3,$L$3,IF(Tabla1[[#This Row],[tamanho]]=$I$4,$L$4,IF(Tabla1[[#This Row],[tamanho]]=$I$5,$L$5,IF(Tabla1[[#This Row],[tamanho]]=$I$6,$L$6,0))))*IF(C2271="8_1",9,25))</f>
        <v>4.1911733058663534E-7</v>
      </c>
    </row>
    <row r="2272" spans="1:6" ht="12.75" x14ac:dyDescent="0.2">
      <c r="A2272" s="1">
        <v>94</v>
      </c>
      <c r="B2272" s="1">
        <v>3</v>
      </c>
      <c r="C2272" s="1" t="s">
        <v>8</v>
      </c>
      <c r="D2272" s="1" t="s">
        <v>6</v>
      </c>
      <c r="E2272" s="1">
        <v>4.3485970497131303</v>
      </c>
      <c r="F2272" s="1">
        <f>Tabla1[[#This Row],[tiempo]]/(IF(Tabla1[[#This Row],[tamanho]]=$I$3,$L$3,IF(Tabla1[[#This Row],[tamanho]]=$I$4,$L$4,IF(Tabla1[[#This Row],[tamanho]]=$I$5,$L$5,IF(Tabla1[[#This Row],[tamanho]]=$I$6,$L$6,0))))*IF(C2272="8_1",9,25))</f>
        <v>4.2091377918254727E-7</v>
      </c>
    </row>
    <row r="2273" spans="1:6" ht="12.75" x14ac:dyDescent="0.2">
      <c r="A2273" s="1">
        <v>94</v>
      </c>
      <c r="B2273" s="1">
        <v>3</v>
      </c>
      <c r="C2273" s="1" t="s">
        <v>5</v>
      </c>
      <c r="D2273" s="1" t="s">
        <v>9</v>
      </c>
      <c r="E2273" s="1">
        <v>3.8633468151092498</v>
      </c>
      <c r="F2273" s="1">
        <f>Tabla1[[#This Row],[tiempo]]/(IF(Tabla1[[#This Row],[tamanho]]=$I$3,$L$3,IF(Tabla1[[#This Row],[tamanho]]=$I$4,$L$4,IF(Tabla1[[#This Row],[tamanho]]=$I$5,$L$5,IF(Tabla1[[#This Row],[tamanho]]=$I$6,$L$6,0))))*IF(C2273="8_1",9,25))</f>
        <v>1.0387359734457126E-6</v>
      </c>
    </row>
    <row r="2274" spans="1:6" ht="12.75" x14ac:dyDescent="0.2">
      <c r="A2274" s="1">
        <v>94</v>
      </c>
      <c r="B2274" s="1">
        <v>3</v>
      </c>
      <c r="C2274" s="1" t="s">
        <v>7</v>
      </c>
      <c r="D2274" s="1" t="s">
        <v>9</v>
      </c>
      <c r="E2274" s="1">
        <v>4.33717441558837</v>
      </c>
      <c r="F2274" s="1">
        <f>Tabla1[[#This Row],[tiempo]]/(IF(Tabla1[[#This Row],[tamanho]]=$I$3,$L$3,IF(Tabla1[[#This Row],[tamanho]]=$I$4,$L$4,IF(Tabla1[[#This Row],[tamanho]]=$I$5,$L$5,IF(Tabla1[[#This Row],[tamanho]]=$I$6,$L$6,0))))*IF(C2274="8_1",9,25))</f>
        <v>4.1980814809217307E-7</v>
      </c>
    </row>
    <row r="2275" spans="1:6" ht="12.75" x14ac:dyDescent="0.2">
      <c r="A2275" s="1">
        <v>94</v>
      </c>
      <c r="B2275" s="1">
        <v>3</v>
      </c>
      <c r="C2275" s="1" t="s">
        <v>8</v>
      </c>
      <c r="D2275" s="1" t="s">
        <v>9</v>
      </c>
      <c r="E2275" s="1">
        <v>4.3692092895507804</v>
      </c>
      <c r="F2275" s="1">
        <f>Tabla1[[#This Row],[tiempo]]/(IF(Tabla1[[#This Row],[tamanho]]=$I$3,$L$3,IF(Tabla1[[#This Row],[tamanho]]=$I$4,$L$4,IF(Tabla1[[#This Row],[tamanho]]=$I$5,$L$5,IF(Tabla1[[#This Row],[tamanho]]=$I$6,$L$6,0))))*IF(C2275="8_1",9,25))</f>
        <v>4.2290889983141371E-7</v>
      </c>
    </row>
    <row r="2276" spans="1:6" ht="12.75" x14ac:dyDescent="0.2">
      <c r="A2276" s="1">
        <v>94</v>
      </c>
      <c r="B2276" s="1">
        <v>4</v>
      </c>
      <c r="C2276" s="1" t="s">
        <v>5</v>
      </c>
      <c r="D2276" s="1" t="s">
        <v>6</v>
      </c>
      <c r="E2276" s="1">
        <v>6.8404839038848797</v>
      </c>
      <c r="F2276" s="1">
        <f>Tabla1[[#This Row],[tiempo]]/(IF(Tabla1[[#This Row],[tamanho]]=$I$3,$L$3,IF(Tabla1[[#This Row],[tamanho]]=$I$4,$L$4,IF(Tabla1[[#This Row],[tamanho]]=$I$5,$L$5,IF(Tabla1[[#This Row],[tamanho]]=$I$6,$L$6,0))))*IF(C2276="8_1",9,25))</f>
        <v>1.0329582335194611E-6</v>
      </c>
    </row>
    <row r="2277" spans="1:6" ht="12.75" x14ac:dyDescent="0.2">
      <c r="A2277" s="1">
        <v>94</v>
      </c>
      <c r="B2277" s="1">
        <v>4</v>
      </c>
      <c r="C2277" s="1" t="s">
        <v>7</v>
      </c>
      <c r="D2277" s="1" t="s">
        <v>6</v>
      </c>
      <c r="E2277" s="1">
        <v>7.7103815078735298</v>
      </c>
      <c r="F2277" s="1">
        <f>Tabla1[[#This Row],[tiempo]]/(IF(Tabla1[[#This Row],[tamanho]]=$I$3,$L$3,IF(Tabla1[[#This Row],[tamanho]]=$I$4,$L$4,IF(Tabla1[[#This Row],[tamanho]]=$I$5,$L$5,IF(Tabla1[[#This Row],[tamanho]]=$I$6,$L$6,0))))*IF(C2277="8_1",9,25))</f>
        <v>4.1915466546744331E-7</v>
      </c>
    </row>
    <row r="2278" spans="1:6" ht="12.75" x14ac:dyDescent="0.2">
      <c r="A2278" s="1">
        <v>94</v>
      </c>
      <c r="B2278" s="1">
        <v>4</v>
      </c>
      <c r="C2278" s="1" t="s">
        <v>8</v>
      </c>
      <c r="D2278" s="1" t="s">
        <v>6</v>
      </c>
      <c r="E2278" s="1">
        <v>7.6870248317718497</v>
      </c>
      <c r="F2278" s="1">
        <f>Tabla1[[#This Row],[tiempo]]/(IF(Tabla1[[#This Row],[tamanho]]=$I$3,$L$3,IF(Tabla1[[#This Row],[tamanho]]=$I$4,$L$4,IF(Tabla1[[#This Row],[tamanho]]=$I$5,$L$5,IF(Tabla1[[#This Row],[tamanho]]=$I$6,$L$6,0))))*IF(C2278="8_1",9,25))</f>
        <v>4.178849410383948E-7</v>
      </c>
    </row>
    <row r="2279" spans="1:6" ht="12.75" x14ac:dyDescent="0.2">
      <c r="A2279" s="1">
        <v>94</v>
      </c>
      <c r="B2279" s="1">
        <v>4</v>
      </c>
      <c r="C2279" s="1" t="s">
        <v>5</v>
      </c>
      <c r="D2279" s="1" t="s">
        <v>9</v>
      </c>
      <c r="E2279" s="1">
        <v>6.8963375091552699</v>
      </c>
      <c r="F2279" s="1">
        <f>Tabla1[[#This Row],[tiempo]]/(IF(Tabla1[[#This Row],[tamanho]]=$I$3,$L$3,IF(Tabla1[[#This Row],[tamanho]]=$I$4,$L$4,IF(Tabla1[[#This Row],[tamanho]]=$I$5,$L$5,IF(Tabla1[[#This Row],[tamanho]]=$I$6,$L$6,0))))*IF(C2279="8_1",9,25))</f>
        <v>1.0413924966865784E-6</v>
      </c>
    </row>
    <row r="2280" spans="1:6" ht="12.75" x14ac:dyDescent="0.2">
      <c r="A2280" s="1">
        <v>94</v>
      </c>
      <c r="B2280" s="1">
        <v>4</v>
      </c>
      <c r="C2280" s="1" t="s">
        <v>7</v>
      </c>
      <c r="D2280" s="1" t="s">
        <v>9</v>
      </c>
      <c r="E2280" s="1">
        <v>7.7284727096557599</v>
      </c>
      <c r="F2280" s="1">
        <f>Tabla1[[#This Row],[tiempo]]/(IF(Tabla1[[#This Row],[tamanho]]=$I$3,$L$3,IF(Tabla1[[#This Row],[tamanho]]=$I$4,$L$4,IF(Tabla1[[#This Row],[tamanho]]=$I$5,$L$5,IF(Tabla1[[#This Row],[tamanho]]=$I$6,$L$6,0))))*IF(C2280="8_1",9,25))</f>
        <v>4.2013814619705327E-7</v>
      </c>
    </row>
    <row r="2281" spans="1:6" ht="12.75" x14ac:dyDescent="0.2">
      <c r="A2281" s="1">
        <v>94</v>
      </c>
      <c r="B2281" s="1">
        <v>4</v>
      </c>
      <c r="C2281" s="1" t="s">
        <v>8</v>
      </c>
      <c r="D2281" s="1" t="s">
        <v>9</v>
      </c>
      <c r="E2281" s="1">
        <v>7.7883536815643302</v>
      </c>
      <c r="F2281" s="1">
        <f>Tabla1[[#This Row],[tiempo]]/(IF(Tabla1[[#This Row],[tamanho]]=$I$3,$L$3,IF(Tabla1[[#This Row],[tamanho]]=$I$4,$L$4,IF(Tabla1[[#This Row],[tamanho]]=$I$5,$L$5,IF(Tabla1[[#This Row],[tamanho]]=$I$6,$L$6,0))))*IF(C2281="8_1",9,25))</f>
        <v>4.2339341816025921E-7</v>
      </c>
    </row>
    <row r="2282" spans="1:6" ht="12.75" x14ac:dyDescent="0.2">
      <c r="A2282" s="1">
        <v>95</v>
      </c>
      <c r="B2282" s="1">
        <v>1</v>
      </c>
      <c r="C2282" s="1" t="s">
        <v>5</v>
      </c>
      <c r="D2282" s="1" t="s">
        <v>6</v>
      </c>
      <c r="E2282" s="1">
        <v>0.41393756866455</v>
      </c>
      <c r="F2282" s="1">
        <f>Tabla1[[#This Row],[tiempo]]/(IF(Tabla1[[#This Row],[tamanho]]=$I$3,$L$3,IF(Tabla1[[#This Row],[tamanho]]=$I$4,$L$4,IF(Tabla1[[#This Row],[tamanho]]=$I$5,$L$5,IF(Tabla1[[#This Row],[tamanho]]=$I$6,$L$6,0))))*IF(C2282="8_1",9,25))</f>
        <v>1.7059108781183933E-6</v>
      </c>
    </row>
    <row r="2283" spans="1:6" ht="12.75" x14ac:dyDescent="0.2">
      <c r="A2283" s="1">
        <v>95</v>
      </c>
      <c r="B2283" s="1">
        <v>1</v>
      </c>
      <c r="C2283" s="1" t="s">
        <v>7</v>
      </c>
      <c r="D2283" s="1" t="s">
        <v>6</v>
      </c>
      <c r="E2283" s="1">
        <v>0.462805986404418</v>
      </c>
      <c r="F2283" s="1">
        <f>Tabla1[[#This Row],[tiempo]]/(IF(Tabla1[[#This Row],[tamanho]]=$I$3,$L$3,IF(Tabla1[[#This Row],[tamanho]]=$I$4,$L$4,IF(Tabla1[[#This Row],[tamanho]]=$I$5,$L$5,IF(Tabla1[[#This Row],[tamanho]]=$I$6,$L$6,0))))*IF(C2283="8_1",9,25))</f>
        <v>6.8663029769580953E-7</v>
      </c>
    </row>
    <row r="2284" spans="1:6" ht="12.75" x14ac:dyDescent="0.2">
      <c r="A2284" s="1">
        <v>95</v>
      </c>
      <c r="B2284" s="1">
        <v>1</v>
      </c>
      <c r="C2284" s="1" t="s">
        <v>8</v>
      </c>
      <c r="D2284" s="1" t="s">
        <v>6</v>
      </c>
      <c r="E2284" s="1">
        <v>0.46411705017089799</v>
      </c>
      <c r="F2284" s="1">
        <f>Tabla1[[#This Row],[tiempo]]/(IF(Tabla1[[#This Row],[tamanho]]=$I$3,$L$3,IF(Tabla1[[#This Row],[tamanho]]=$I$4,$L$4,IF(Tabla1[[#This Row],[tamanho]]=$I$5,$L$5,IF(Tabla1[[#This Row],[tamanho]]=$I$6,$L$6,0))))*IF(C2284="8_1",9,25))</f>
        <v>6.8857542401379474E-7</v>
      </c>
    </row>
    <row r="2285" spans="1:6" ht="12.75" x14ac:dyDescent="0.2">
      <c r="A2285" s="1">
        <v>95</v>
      </c>
      <c r="B2285" s="1">
        <v>1</v>
      </c>
      <c r="C2285" s="1" t="s">
        <v>5</v>
      </c>
      <c r="D2285" s="1" t="s">
        <v>9</v>
      </c>
      <c r="E2285" s="1">
        <v>0.41247940063476501</v>
      </c>
      <c r="F2285" s="1">
        <f>Tabla1[[#This Row],[tiempo]]/(IF(Tabla1[[#This Row],[tamanho]]=$I$3,$L$3,IF(Tabla1[[#This Row],[tamanho]]=$I$4,$L$4,IF(Tabla1[[#This Row],[tamanho]]=$I$5,$L$5,IF(Tabla1[[#This Row],[tamanho]]=$I$6,$L$6,0))))*IF(C2285="8_1",9,25))</f>
        <v>1.6999015064342528E-6</v>
      </c>
    </row>
    <row r="2286" spans="1:6" ht="12.75" x14ac:dyDescent="0.2">
      <c r="A2286" s="1">
        <v>95</v>
      </c>
      <c r="B2286" s="1">
        <v>1</v>
      </c>
      <c r="C2286" s="1" t="s">
        <v>7</v>
      </c>
      <c r="D2286" s="1" t="s">
        <v>9</v>
      </c>
      <c r="E2286" s="1">
        <v>0.46267795562744102</v>
      </c>
      <c r="F2286" s="1">
        <f>Tabla1[[#This Row],[tiempo]]/(IF(Tabla1[[#This Row],[tamanho]]=$I$3,$L$3,IF(Tabla1[[#This Row],[tamanho]]=$I$4,$L$4,IF(Tabla1[[#This Row],[tamanho]]=$I$5,$L$5,IF(Tabla1[[#This Row],[tamanho]]=$I$6,$L$6,0))))*IF(C2286="8_1",9,25))</f>
        <v>6.8644034809901862E-7</v>
      </c>
    </row>
    <row r="2287" spans="1:6" ht="12.75" x14ac:dyDescent="0.2">
      <c r="A2287" s="1">
        <v>95</v>
      </c>
      <c r="B2287" s="1">
        <v>1</v>
      </c>
      <c r="C2287" s="1" t="s">
        <v>8</v>
      </c>
      <c r="D2287" s="1" t="s">
        <v>9</v>
      </c>
      <c r="E2287" s="1">
        <v>0.46735763549804599</v>
      </c>
      <c r="F2287" s="1">
        <f>Tabla1[[#This Row],[tiempo]]/(IF(Tabla1[[#This Row],[tamanho]]=$I$3,$L$3,IF(Tabla1[[#This Row],[tamanho]]=$I$4,$L$4,IF(Tabla1[[#This Row],[tamanho]]=$I$5,$L$5,IF(Tabla1[[#This Row],[tamanho]]=$I$6,$L$6,0))))*IF(C2287="8_1",9,25))</f>
        <v>6.9338323578212382E-7</v>
      </c>
    </row>
    <row r="2288" spans="1:6" ht="12.75" x14ac:dyDescent="0.2">
      <c r="A2288" s="1">
        <v>95</v>
      </c>
      <c r="B2288" s="1">
        <v>2</v>
      </c>
      <c r="C2288" s="1" t="s">
        <v>5</v>
      </c>
      <c r="D2288" s="1" t="s">
        <v>6</v>
      </c>
      <c r="E2288" s="1">
        <v>1.68582963943481</v>
      </c>
      <c r="F2288" s="1">
        <f>Tabla1[[#This Row],[tiempo]]/(IF(Tabla1[[#This Row],[tamanho]]=$I$3,$L$3,IF(Tabla1[[#This Row],[tamanho]]=$I$4,$L$4,IF(Tabla1[[#This Row],[tamanho]]=$I$5,$L$5,IF(Tabla1[[#This Row],[tamanho]]=$I$6,$L$6,0))))*IF(C2288="8_1",9,25))</f>
        <v>1.020664576354037E-6</v>
      </c>
    </row>
    <row r="2289" spans="1:6" ht="12.75" x14ac:dyDescent="0.2">
      <c r="A2289" s="1">
        <v>95</v>
      </c>
      <c r="B2289" s="1">
        <v>2</v>
      </c>
      <c r="C2289" s="1" t="s">
        <v>7</v>
      </c>
      <c r="D2289" s="1" t="s">
        <v>6</v>
      </c>
      <c r="E2289" s="1">
        <v>1.9082677364349301</v>
      </c>
      <c r="F2289" s="1">
        <f>Tabla1[[#This Row],[tiempo]]/(IF(Tabla1[[#This Row],[tamanho]]=$I$3,$L$3,IF(Tabla1[[#This Row],[tamanho]]=$I$4,$L$4,IF(Tabla1[[#This Row],[tamanho]]=$I$5,$L$5,IF(Tabla1[[#This Row],[tamanho]]=$I$6,$L$6,0))))*IF(C2289="8_1",9,25))</f>
        <v>4.1592130348076637E-7</v>
      </c>
    </row>
    <row r="2290" spans="1:6" ht="12.75" x14ac:dyDescent="0.2">
      <c r="A2290" s="1">
        <v>95</v>
      </c>
      <c r="B2290" s="1">
        <v>2</v>
      </c>
      <c r="C2290" s="1" t="s">
        <v>8</v>
      </c>
      <c r="D2290" s="1" t="s">
        <v>6</v>
      </c>
      <c r="E2290" s="1">
        <v>1.91669797897338</v>
      </c>
      <c r="F2290" s="1">
        <f>Tabla1[[#This Row],[tiempo]]/(IF(Tabla1[[#This Row],[tamanho]]=$I$3,$L$3,IF(Tabla1[[#This Row],[tamanho]]=$I$4,$L$4,IF(Tabla1[[#This Row],[tamanho]]=$I$5,$L$5,IF(Tabla1[[#This Row],[tamanho]]=$I$6,$L$6,0))))*IF(C2290="8_1",9,25))</f>
        <v>4.1775873823811423E-7</v>
      </c>
    </row>
    <row r="2291" spans="1:6" ht="12.75" x14ac:dyDescent="0.2">
      <c r="A2291" s="1">
        <v>95</v>
      </c>
      <c r="B2291" s="1">
        <v>2</v>
      </c>
      <c r="C2291" s="1" t="s">
        <v>5</v>
      </c>
      <c r="D2291" s="1" t="s">
        <v>9</v>
      </c>
      <c r="E2291" s="1">
        <v>1.71046519279479</v>
      </c>
      <c r="F2291" s="1">
        <f>Tabla1[[#This Row],[tiempo]]/(IF(Tabla1[[#This Row],[tamanho]]=$I$3,$L$3,IF(Tabla1[[#This Row],[tamanho]]=$I$4,$L$4,IF(Tabla1[[#This Row],[tamanho]]=$I$5,$L$5,IF(Tabla1[[#This Row],[tamanho]]=$I$6,$L$6,0))))*IF(C2291="8_1",9,25))</f>
        <v>1.0355798655654908E-6</v>
      </c>
    </row>
    <row r="2292" spans="1:6" ht="12.75" x14ac:dyDescent="0.2">
      <c r="A2292" s="1">
        <v>95</v>
      </c>
      <c r="B2292" s="1">
        <v>2</v>
      </c>
      <c r="C2292" s="1" t="s">
        <v>7</v>
      </c>
      <c r="D2292" s="1" t="s">
        <v>9</v>
      </c>
      <c r="E2292" s="1">
        <v>1.91382479667663</v>
      </c>
      <c r="F2292" s="1">
        <f>Tabla1[[#This Row],[tiempo]]/(IF(Tabla1[[#This Row],[tamanho]]=$I$3,$L$3,IF(Tabla1[[#This Row],[tamanho]]=$I$4,$L$4,IF(Tabla1[[#This Row],[tamanho]]=$I$5,$L$5,IF(Tabla1[[#This Row],[tamanho]]=$I$6,$L$6,0))))*IF(C2292="8_1",9,25))</f>
        <v>4.1713250654997872E-7</v>
      </c>
    </row>
    <row r="2293" spans="1:6" ht="12.75" x14ac:dyDescent="0.2">
      <c r="A2293" s="1">
        <v>95</v>
      </c>
      <c r="B2293" s="1">
        <v>2</v>
      </c>
      <c r="C2293" s="1" t="s">
        <v>8</v>
      </c>
      <c r="D2293" s="1" t="s">
        <v>9</v>
      </c>
      <c r="E2293" s="1">
        <v>1.92102575302124</v>
      </c>
      <c r="F2293" s="1">
        <f>Tabla1[[#This Row],[tiempo]]/(IF(Tabla1[[#This Row],[tamanho]]=$I$3,$L$3,IF(Tabla1[[#This Row],[tamanho]]=$I$4,$L$4,IF(Tabla1[[#This Row],[tamanho]]=$I$5,$L$5,IF(Tabla1[[#This Row],[tamanho]]=$I$6,$L$6,0))))*IF(C2293="8_1",9,25))</f>
        <v>4.187020091370495E-7</v>
      </c>
    </row>
    <row r="2294" spans="1:6" ht="12.75" x14ac:dyDescent="0.2">
      <c r="A2294" s="1">
        <v>95</v>
      </c>
      <c r="B2294" s="1">
        <v>3</v>
      </c>
      <c r="C2294" s="1" t="s">
        <v>5</v>
      </c>
      <c r="D2294" s="1" t="s">
        <v>6</v>
      </c>
      <c r="E2294" s="1">
        <v>3.8660719394683798</v>
      </c>
      <c r="F2294" s="1">
        <f>Tabla1[[#This Row],[tiempo]]/(IF(Tabla1[[#This Row],[tamanho]]=$I$3,$L$3,IF(Tabla1[[#This Row],[tamanho]]=$I$4,$L$4,IF(Tabla1[[#This Row],[tamanho]]=$I$5,$L$5,IF(Tabla1[[#This Row],[tamanho]]=$I$6,$L$6,0))))*IF(C2294="8_1",9,25))</f>
        <v>1.0394686761616249E-6</v>
      </c>
    </row>
    <row r="2295" spans="1:6" ht="12.75" x14ac:dyDescent="0.2">
      <c r="A2295" s="1">
        <v>95</v>
      </c>
      <c r="B2295" s="1">
        <v>3</v>
      </c>
      <c r="C2295" s="1" t="s">
        <v>7</v>
      </c>
      <c r="D2295" s="1" t="s">
        <v>6</v>
      </c>
      <c r="E2295" s="1">
        <v>4.3349905014037997</v>
      </c>
      <c r="F2295" s="1">
        <f>Tabla1[[#This Row],[tiempo]]/(IF(Tabla1[[#This Row],[tamanho]]=$I$3,$L$3,IF(Tabla1[[#This Row],[tamanho]]=$I$4,$L$4,IF(Tabla1[[#This Row],[tamanho]]=$I$5,$L$5,IF(Tabla1[[#This Row],[tamanho]]=$I$6,$L$6,0))))*IF(C2295="8_1",9,25))</f>
        <v>4.1959676047397594E-7</v>
      </c>
    </row>
    <row r="2296" spans="1:6" ht="12.75" x14ac:dyDescent="0.2">
      <c r="A2296" s="1">
        <v>95</v>
      </c>
      <c r="B2296" s="1">
        <v>3</v>
      </c>
      <c r="C2296" s="1" t="s">
        <v>8</v>
      </c>
      <c r="D2296" s="1" t="s">
        <v>6</v>
      </c>
      <c r="E2296" s="1">
        <v>4.3529717922210596</v>
      </c>
      <c r="F2296" s="1">
        <f>Tabla1[[#This Row],[tiempo]]/(IF(Tabla1[[#This Row],[tamanho]]=$I$3,$L$3,IF(Tabla1[[#This Row],[tamanho]]=$I$4,$L$4,IF(Tabla1[[#This Row],[tamanho]]=$I$5,$L$5,IF(Tabla1[[#This Row],[tamanho]]=$I$6,$L$6,0))))*IF(C2296="8_1",9,25))</f>
        <v>4.2133722365921697E-7</v>
      </c>
    </row>
    <row r="2297" spans="1:6" ht="12.75" x14ac:dyDescent="0.2">
      <c r="A2297" s="1">
        <v>95</v>
      </c>
      <c r="B2297" s="1">
        <v>3</v>
      </c>
      <c r="C2297" s="1" t="s">
        <v>5</v>
      </c>
      <c r="D2297" s="1" t="s">
        <v>9</v>
      </c>
      <c r="E2297" s="1">
        <v>3.8630609512329102</v>
      </c>
      <c r="F2297" s="1">
        <f>Tabla1[[#This Row],[tiempo]]/(IF(Tabla1[[#This Row],[tamanho]]=$I$3,$L$3,IF(Tabla1[[#This Row],[tamanho]]=$I$4,$L$4,IF(Tabla1[[#This Row],[tamanho]]=$I$5,$L$5,IF(Tabla1[[#This Row],[tamanho]]=$I$6,$L$6,0))))*IF(C2297="8_1",9,25))</f>
        <v>1.0386591133795387E-6</v>
      </c>
    </row>
    <row r="2298" spans="1:6" ht="12.75" x14ac:dyDescent="0.2">
      <c r="A2298" s="1">
        <v>95</v>
      </c>
      <c r="B2298" s="1">
        <v>3</v>
      </c>
      <c r="C2298" s="1" t="s">
        <v>7</v>
      </c>
      <c r="D2298" s="1" t="s">
        <v>9</v>
      </c>
      <c r="E2298" s="1">
        <v>4.3143386840820304</v>
      </c>
      <c r="F2298" s="1">
        <f>Tabla1[[#This Row],[tiempo]]/(IF(Tabla1[[#This Row],[tamanho]]=$I$3,$L$3,IF(Tabla1[[#This Row],[tamanho]]=$I$4,$L$4,IF(Tabla1[[#This Row],[tamanho]]=$I$5,$L$5,IF(Tabla1[[#This Row],[tamanho]]=$I$6,$L$6,0))))*IF(C2298="8_1",9,25))</f>
        <v>4.1759780900146211E-7</v>
      </c>
    </row>
    <row r="2299" spans="1:6" ht="12.75" x14ac:dyDescent="0.2">
      <c r="A2299" s="1">
        <v>95</v>
      </c>
      <c r="B2299" s="1">
        <v>3</v>
      </c>
      <c r="C2299" s="1" t="s">
        <v>8</v>
      </c>
      <c r="D2299" s="1" t="s">
        <v>9</v>
      </c>
      <c r="E2299" s="1">
        <v>4.36008501052856</v>
      </c>
      <c r="F2299" s="1">
        <f>Tabla1[[#This Row],[tiempo]]/(IF(Tabla1[[#This Row],[tamanho]]=$I$3,$L$3,IF(Tabla1[[#This Row],[tamanho]]=$I$4,$L$4,IF(Tabla1[[#This Row],[tamanho]]=$I$5,$L$5,IF(Tabla1[[#This Row],[tamanho]]=$I$6,$L$6,0))))*IF(C2299="8_1",9,25))</f>
        <v>4.2202573343966628E-7</v>
      </c>
    </row>
    <row r="2300" spans="1:6" ht="12.75" x14ac:dyDescent="0.2">
      <c r="A2300" s="1">
        <v>95</v>
      </c>
      <c r="B2300" s="1">
        <v>4</v>
      </c>
      <c r="C2300" s="1" t="s">
        <v>5</v>
      </c>
      <c r="D2300" s="1" t="s">
        <v>6</v>
      </c>
      <c r="E2300" s="1">
        <v>6.9016559123992902</v>
      </c>
      <c r="F2300" s="1">
        <f>Tabla1[[#This Row],[tiempo]]/(IF(Tabla1[[#This Row],[tamanho]]=$I$3,$L$3,IF(Tabla1[[#This Row],[tamanho]]=$I$4,$L$4,IF(Tabla1[[#This Row],[tamanho]]=$I$5,$L$5,IF(Tabla1[[#This Row],[tamanho]]=$I$6,$L$6,0))))*IF(C2300="8_1",9,25))</f>
        <v>1.0421956106909791E-6</v>
      </c>
    </row>
    <row r="2301" spans="1:6" ht="12.75" x14ac:dyDescent="0.2">
      <c r="A2301" s="1">
        <v>95</v>
      </c>
      <c r="B2301" s="1">
        <v>4</v>
      </c>
      <c r="C2301" s="1" t="s">
        <v>7</v>
      </c>
      <c r="D2301" s="1" t="s">
        <v>6</v>
      </c>
      <c r="E2301" s="1">
        <v>7.7476036548614502</v>
      </c>
      <c r="F2301" s="1">
        <f>Tabla1[[#This Row],[tiempo]]/(IF(Tabla1[[#This Row],[tamanho]]=$I$3,$L$3,IF(Tabla1[[#This Row],[tamanho]]=$I$4,$L$4,IF(Tabla1[[#This Row],[tamanho]]=$I$5,$L$5,IF(Tabla1[[#This Row],[tamanho]]=$I$6,$L$6,0))))*IF(C2301="8_1",9,25))</f>
        <v>4.2117814985051433E-7</v>
      </c>
    </row>
    <row r="2302" spans="1:6" ht="12.75" x14ac:dyDescent="0.2">
      <c r="A2302" s="1">
        <v>95</v>
      </c>
      <c r="B2302" s="1">
        <v>4</v>
      </c>
      <c r="C2302" s="1" t="s">
        <v>8</v>
      </c>
      <c r="D2302" s="1" t="s">
        <v>6</v>
      </c>
      <c r="E2302" s="1">
        <v>7.7460813522338796</v>
      </c>
      <c r="F2302" s="1">
        <f>Tabla1[[#This Row],[tiempo]]/(IF(Tabla1[[#This Row],[tamanho]]=$I$3,$L$3,IF(Tabla1[[#This Row],[tamanho]]=$I$4,$L$4,IF(Tabla1[[#This Row],[tamanho]]=$I$5,$L$5,IF(Tabla1[[#This Row],[tamanho]]=$I$6,$L$6,0))))*IF(C2302="8_1",9,25))</f>
        <v>4.2109539386133949E-7</v>
      </c>
    </row>
    <row r="2303" spans="1:6" ht="12.75" x14ac:dyDescent="0.2">
      <c r="A2303" s="1">
        <v>95</v>
      </c>
      <c r="B2303" s="1">
        <v>4</v>
      </c>
      <c r="C2303" s="1" t="s">
        <v>5</v>
      </c>
      <c r="D2303" s="1" t="s">
        <v>9</v>
      </c>
      <c r="E2303" s="1">
        <v>6.9223222732543901</v>
      </c>
      <c r="F2303" s="1">
        <f>Tabla1[[#This Row],[tiempo]]/(IF(Tabla1[[#This Row],[tamanho]]=$I$3,$L$3,IF(Tabla1[[#This Row],[tamanho]]=$I$4,$L$4,IF(Tabla1[[#This Row],[tamanho]]=$I$5,$L$5,IF(Tabla1[[#This Row],[tamanho]]=$I$6,$L$6,0))))*IF(C2303="8_1",9,25))</f>
        <v>1.0453163676289547E-6</v>
      </c>
    </row>
    <row r="2304" spans="1:6" ht="12.75" x14ac:dyDescent="0.2">
      <c r="A2304" s="1">
        <v>95</v>
      </c>
      <c r="B2304" s="1">
        <v>4</v>
      </c>
      <c r="C2304" s="1" t="s">
        <v>7</v>
      </c>
      <c r="D2304" s="1" t="s">
        <v>9</v>
      </c>
      <c r="E2304" s="1">
        <v>7.7091941833495996</v>
      </c>
      <c r="F2304" s="1">
        <f>Tabla1[[#This Row],[tiempo]]/(IF(Tabla1[[#This Row],[tamanho]]=$I$3,$L$3,IF(Tabla1[[#This Row],[tamanho]]=$I$4,$L$4,IF(Tabla1[[#This Row],[tamanho]]=$I$5,$L$5,IF(Tabla1[[#This Row],[tamanho]]=$I$6,$L$6,0))))*IF(C2304="8_1",9,25))</f>
        <v>4.1909011968418719E-7</v>
      </c>
    </row>
    <row r="2305" spans="1:6" ht="12.75" x14ac:dyDescent="0.2">
      <c r="A2305" s="1">
        <v>95</v>
      </c>
      <c r="B2305" s="1">
        <v>4</v>
      </c>
      <c r="C2305" s="1" t="s">
        <v>8</v>
      </c>
      <c r="D2305" s="1" t="s">
        <v>9</v>
      </c>
      <c r="E2305" s="1">
        <v>7.83628153800964</v>
      </c>
      <c r="F2305" s="1">
        <f>Tabla1[[#This Row],[tiempo]]/(IF(Tabla1[[#This Row],[tamanho]]=$I$3,$L$3,IF(Tabla1[[#This Row],[tamanho]]=$I$4,$L$4,IF(Tabla1[[#This Row],[tamanho]]=$I$5,$L$5,IF(Tabla1[[#This Row],[tamanho]]=$I$6,$L$6,0))))*IF(C2305="8_1",9,25))</f>
        <v>4.2599889035568705E-7</v>
      </c>
    </row>
    <row r="2306" spans="1:6" ht="12.75" x14ac:dyDescent="0.2">
      <c r="A2306" s="1">
        <v>96</v>
      </c>
      <c r="B2306" s="1">
        <v>1</v>
      </c>
      <c r="C2306" s="1" t="s">
        <v>5</v>
      </c>
      <c r="D2306" s="1" t="s">
        <v>6</v>
      </c>
      <c r="E2306" s="1">
        <v>0.40981841087341297</v>
      </c>
      <c r="F2306" s="1">
        <f>Tabla1[[#This Row],[tiempo]]/(IF(Tabla1[[#This Row],[tamanho]]=$I$3,$L$3,IF(Tabla1[[#This Row],[tamanho]]=$I$4,$L$4,IF(Tabla1[[#This Row],[tamanho]]=$I$5,$L$5,IF(Tabla1[[#This Row],[tamanho]]=$I$6,$L$6,0))))*IF(C2306="8_1",9,25))</f>
        <v>1.6889350909066718E-6</v>
      </c>
    </row>
    <row r="2307" spans="1:6" ht="12.75" x14ac:dyDescent="0.2">
      <c r="A2307" s="1">
        <v>96</v>
      </c>
      <c r="B2307" s="1">
        <v>1</v>
      </c>
      <c r="C2307" s="1" t="s">
        <v>7</v>
      </c>
      <c r="D2307" s="1" t="s">
        <v>6</v>
      </c>
      <c r="E2307" s="1">
        <v>0.46279597282409601</v>
      </c>
      <c r="F2307" s="1">
        <f>Tabla1[[#This Row],[tiempo]]/(IF(Tabla1[[#This Row],[tamanho]]=$I$3,$L$3,IF(Tabla1[[#This Row],[tamanho]]=$I$4,$L$4,IF(Tabla1[[#This Row],[tamanho]]=$I$5,$L$5,IF(Tabla1[[#This Row],[tamanho]]=$I$6,$L$6,0))))*IF(C2307="8_1",9,25))</f>
        <v>6.8661544130276475E-7</v>
      </c>
    </row>
    <row r="2308" spans="1:6" ht="12.75" x14ac:dyDescent="0.2">
      <c r="A2308" s="1">
        <v>96</v>
      </c>
      <c r="B2308" s="1">
        <v>1</v>
      </c>
      <c r="C2308" s="1" t="s">
        <v>8</v>
      </c>
      <c r="D2308" s="1" t="s">
        <v>6</v>
      </c>
      <c r="E2308" s="1">
        <v>0.46452403068542403</v>
      </c>
      <c r="F2308" s="1">
        <f>Tabla1[[#This Row],[tiempo]]/(IF(Tabla1[[#This Row],[tamanho]]=$I$3,$L$3,IF(Tabla1[[#This Row],[tamanho]]=$I$4,$L$4,IF(Tabla1[[#This Row],[tamanho]]=$I$5,$L$5,IF(Tabla1[[#This Row],[tamanho]]=$I$6,$L$6,0))))*IF(C2308="8_1",9,25))</f>
        <v>6.8917923027398694E-7</v>
      </c>
    </row>
    <row r="2309" spans="1:6" ht="12.75" x14ac:dyDescent="0.2">
      <c r="A2309" s="1">
        <v>96</v>
      </c>
      <c r="B2309" s="1">
        <v>1</v>
      </c>
      <c r="C2309" s="1" t="s">
        <v>5</v>
      </c>
      <c r="D2309" s="1" t="s">
        <v>9</v>
      </c>
      <c r="E2309" s="1">
        <v>0.409952402114868</v>
      </c>
      <c r="F2309" s="1">
        <f>Tabla1[[#This Row],[tiempo]]/(IF(Tabla1[[#This Row],[tamanho]]=$I$3,$L$3,IF(Tabla1[[#This Row],[tamanho]]=$I$4,$L$4,IF(Tabla1[[#This Row],[tamanho]]=$I$5,$L$5,IF(Tabla1[[#This Row],[tamanho]]=$I$6,$L$6,0))))*IF(C2309="8_1",9,25))</f>
        <v>1.6894872928174772E-6</v>
      </c>
    </row>
    <row r="2310" spans="1:6" ht="12.75" x14ac:dyDescent="0.2">
      <c r="A2310" s="1">
        <v>96</v>
      </c>
      <c r="B2310" s="1">
        <v>1</v>
      </c>
      <c r="C2310" s="1" t="s">
        <v>7</v>
      </c>
      <c r="D2310" s="1" t="s">
        <v>9</v>
      </c>
      <c r="E2310" s="1">
        <v>0.46039962768554599</v>
      </c>
      <c r="F2310" s="1">
        <f>Tabla1[[#This Row],[tiempo]]/(IF(Tabla1[[#This Row],[tamanho]]=$I$3,$L$3,IF(Tabla1[[#This Row],[tamanho]]=$I$4,$L$4,IF(Tabla1[[#This Row],[tamanho]]=$I$5,$L$5,IF(Tabla1[[#This Row],[tamanho]]=$I$6,$L$6,0))))*IF(C2310="8_1",9,25))</f>
        <v>6.8306016495759943E-7</v>
      </c>
    </row>
    <row r="2311" spans="1:6" ht="12.75" x14ac:dyDescent="0.2">
      <c r="A2311" s="1">
        <v>96</v>
      </c>
      <c r="B2311" s="1">
        <v>1</v>
      </c>
      <c r="C2311" s="1" t="s">
        <v>8</v>
      </c>
      <c r="D2311" s="1" t="s">
        <v>9</v>
      </c>
      <c r="E2311" s="1">
        <v>0.46457219123840299</v>
      </c>
      <c r="F2311" s="1">
        <f>Tabla1[[#This Row],[tiempo]]/(IF(Tabla1[[#This Row],[tamanho]]=$I$3,$L$3,IF(Tabla1[[#This Row],[tamanho]]=$I$4,$L$4,IF(Tabla1[[#This Row],[tamanho]]=$I$5,$L$5,IF(Tabla1[[#This Row],[tamanho]]=$I$6,$L$6,0))))*IF(C2311="8_1",9,25))</f>
        <v>6.892506824500619E-7</v>
      </c>
    </row>
    <row r="2312" spans="1:6" ht="12.75" x14ac:dyDescent="0.2">
      <c r="A2312" s="1">
        <v>96</v>
      </c>
      <c r="B2312" s="1">
        <v>2</v>
      </c>
      <c r="C2312" s="1" t="s">
        <v>5</v>
      </c>
      <c r="D2312" s="1" t="s">
        <v>6</v>
      </c>
      <c r="E2312" s="1">
        <v>1.6837639808654701</v>
      </c>
      <c r="F2312" s="1">
        <f>Tabla1[[#This Row],[tiempo]]/(IF(Tabla1[[#This Row],[tamanho]]=$I$3,$L$3,IF(Tabla1[[#This Row],[tamanho]]=$I$4,$L$4,IF(Tabla1[[#This Row],[tamanho]]=$I$5,$L$5,IF(Tabla1[[#This Row],[tamanho]]=$I$6,$L$6,0))))*IF(C2312="8_1",9,25))</f>
        <v>1.019413949078748E-6</v>
      </c>
    </row>
    <row r="2313" spans="1:6" ht="12.75" x14ac:dyDescent="0.2">
      <c r="A2313" s="1">
        <v>96</v>
      </c>
      <c r="B2313" s="1">
        <v>2</v>
      </c>
      <c r="C2313" s="1" t="s">
        <v>7</v>
      </c>
      <c r="D2313" s="1" t="s">
        <v>6</v>
      </c>
      <c r="E2313" s="1">
        <v>1.9102590084075901</v>
      </c>
      <c r="F2313" s="1">
        <f>Tabla1[[#This Row],[tiempo]]/(IF(Tabla1[[#This Row],[tamanho]]=$I$3,$L$3,IF(Tabla1[[#This Row],[tamanho]]=$I$4,$L$4,IF(Tabla1[[#This Row],[tamanho]]=$I$5,$L$5,IF(Tabla1[[#This Row],[tamanho]]=$I$6,$L$6,0))))*IF(C2313="8_1",9,25))</f>
        <v>4.1635531618173082E-7</v>
      </c>
    </row>
    <row r="2314" spans="1:6" ht="12.75" x14ac:dyDescent="0.2">
      <c r="A2314" s="1">
        <v>96</v>
      </c>
      <c r="B2314" s="1">
        <v>2</v>
      </c>
      <c r="C2314" s="1" t="s">
        <v>8</v>
      </c>
      <c r="D2314" s="1" t="s">
        <v>6</v>
      </c>
      <c r="E2314" s="1">
        <v>1.9116241931915201</v>
      </c>
      <c r="F2314" s="1">
        <f>Tabla1[[#This Row],[tiempo]]/(IF(Tabla1[[#This Row],[tamanho]]=$I$3,$L$3,IF(Tabla1[[#This Row],[tamanho]]=$I$4,$L$4,IF(Tabla1[[#This Row],[tamanho]]=$I$5,$L$5,IF(Tabla1[[#This Row],[tamanho]]=$I$6,$L$6,0))))*IF(C2314="8_1",9,25))</f>
        <v>4.1665286847168627E-7</v>
      </c>
    </row>
    <row r="2315" spans="1:6" ht="12.75" x14ac:dyDescent="0.2">
      <c r="A2315" s="1">
        <v>96</v>
      </c>
      <c r="B2315" s="1">
        <v>2</v>
      </c>
      <c r="C2315" s="1" t="s">
        <v>5</v>
      </c>
      <c r="D2315" s="1" t="s">
        <v>9</v>
      </c>
      <c r="E2315" s="1">
        <v>1.70202684402465</v>
      </c>
      <c r="F2315" s="1">
        <f>Tabla1[[#This Row],[tiempo]]/(IF(Tabla1[[#This Row],[tamanho]]=$I$3,$L$3,IF(Tabla1[[#This Row],[tamanho]]=$I$4,$L$4,IF(Tabla1[[#This Row],[tamanho]]=$I$5,$L$5,IF(Tabla1[[#This Row],[tamanho]]=$I$6,$L$6,0))))*IF(C2315="8_1",9,25))</f>
        <v>1.0304709723113124E-6</v>
      </c>
    </row>
    <row r="2316" spans="1:6" ht="12.75" x14ac:dyDescent="0.2">
      <c r="A2316" s="1">
        <v>96</v>
      </c>
      <c r="B2316" s="1">
        <v>2</v>
      </c>
      <c r="C2316" s="1" t="s">
        <v>7</v>
      </c>
      <c r="D2316" s="1" t="s">
        <v>9</v>
      </c>
      <c r="E2316" s="1">
        <v>1.8997983932495099</v>
      </c>
      <c r="F2316" s="1">
        <f>Tabla1[[#This Row],[tiempo]]/(IF(Tabla1[[#This Row],[tamanho]]=$I$3,$L$3,IF(Tabla1[[#This Row],[tamanho]]=$I$4,$L$4,IF(Tabla1[[#This Row],[tamanho]]=$I$5,$L$5,IF(Tabla1[[#This Row],[tamanho]]=$I$6,$L$6,0))))*IF(C2316="8_1",9,25))</f>
        <v>4.1407534644337137E-7</v>
      </c>
    </row>
    <row r="2317" spans="1:6" ht="12.75" x14ac:dyDescent="0.2">
      <c r="A2317" s="1">
        <v>96</v>
      </c>
      <c r="B2317" s="1">
        <v>2</v>
      </c>
      <c r="C2317" s="1" t="s">
        <v>8</v>
      </c>
      <c r="D2317" s="1" t="s">
        <v>9</v>
      </c>
      <c r="E2317" s="1">
        <v>1.9252071380615201</v>
      </c>
      <c r="F2317" s="1">
        <f>Tabla1[[#This Row],[tiempo]]/(IF(Tabla1[[#This Row],[tamanho]]=$I$3,$L$3,IF(Tabla1[[#This Row],[tamanho]]=$I$4,$L$4,IF(Tabla1[[#This Row],[tamanho]]=$I$5,$L$5,IF(Tabla1[[#This Row],[tamanho]]=$I$6,$L$6,0))))*IF(C2317="8_1",9,25))</f>
        <v>4.1961337345092581E-7</v>
      </c>
    </row>
    <row r="2318" spans="1:6" ht="12.75" x14ac:dyDescent="0.2">
      <c r="A2318" s="1">
        <v>96</v>
      </c>
      <c r="B2318" s="1">
        <v>3</v>
      </c>
      <c r="C2318" s="1" t="s">
        <v>5</v>
      </c>
      <c r="D2318" s="1" t="s">
        <v>6</v>
      </c>
      <c r="E2318" s="1">
        <v>3.8197038173675502</v>
      </c>
      <c r="F2318" s="1">
        <f>Tabla1[[#This Row],[tiempo]]/(IF(Tabla1[[#This Row],[tamanho]]=$I$3,$L$3,IF(Tabla1[[#This Row],[tamanho]]=$I$4,$L$4,IF(Tabla1[[#This Row],[tamanho]]=$I$5,$L$5,IF(Tabla1[[#This Row],[tamanho]]=$I$6,$L$6,0))))*IF(C2318="8_1",9,25))</f>
        <v>1.0270017041934629E-6</v>
      </c>
    </row>
    <row r="2319" spans="1:6" ht="12.75" x14ac:dyDescent="0.2">
      <c r="A2319" s="1">
        <v>96</v>
      </c>
      <c r="B2319" s="1">
        <v>3</v>
      </c>
      <c r="C2319" s="1" t="s">
        <v>7</v>
      </c>
      <c r="D2319" s="1" t="s">
        <v>6</v>
      </c>
      <c r="E2319" s="1">
        <v>4.3319623470306396</v>
      </c>
      <c r="F2319" s="1">
        <f>Tabla1[[#This Row],[tiempo]]/(IF(Tabla1[[#This Row],[tamanho]]=$I$3,$L$3,IF(Tabla1[[#This Row],[tamanho]]=$I$4,$L$4,IF(Tabla1[[#This Row],[tamanho]]=$I$5,$L$5,IF(Tabla1[[#This Row],[tamanho]]=$I$6,$L$6,0))))*IF(C2319="8_1",9,25))</f>
        <v>4.1930365631036095E-7</v>
      </c>
    </row>
    <row r="2320" spans="1:6" ht="12.75" x14ac:dyDescent="0.2">
      <c r="A2320" s="1">
        <v>96</v>
      </c>
      <c r="B2320" s="1">
        <v>3</v>
      </c>
      <c r="C2320" s="1" t="s">
        <v>8</v>
      </c>
      <c r="D2320" s="1" t="s">
        <v>6</v>
      </c>
      <c r="E2320" s="1">
        <v>4.3397617340087802</v>
      </c>
      <c r="F2320" s="1">
        <f>Tabla1[[#This Row],[tiempo]]/(IF(Tabla1[[#This Row],[tamanho]]=$I$3,$L$3,IF(Tabla1[[#This Row],[tamanho]]=$I$4,$L$4,IF(Tabla1[[#This Row],[tamanho]]=$I$5,$L$5,IF(Tabla1[[#This Row],[tamanho]]=$I$6,$L$6,0))))*IF(C2320="8_1",9,25))</f>
        <v>4.2005858241888432E-7</v>
      </c>
    </row>
    <row r="2321" spans="1:6" ht="12.75" x14ac:dyDescent="0.2">
      <c r="A2321" s="1">
        <v>96</v>
      </c>
      <c r="B2321" s="1">
        <v>3</v>
      </c>
      <c r="C2321" s="1" t="s">
        <v>5</v>
      </c>
      <c r="D2321" s="1" t="s">
        <v>9</v>
      </c>
      <c r="E2321" s="1">
        <v>3.8704874515533398</v>
      </c>
      <c r="F2321" s="1">
        <f>Tabla1[[#This Row],[tiempo]]/(IF(Tabla1[[#This Row],[tamanho]]=$I$3,$L$3,IF(Tabla1[[#This Row],[tamanho]]=$I$4,$L$4,IF(Tabla1[[#This Row],[tamanho]]=$I$5,$L$5,IF(Tabla1[[#This Row],[tamanho]]=$I$6,$L$6,0))))*IF(C2321="8_1",9,25))</f>
        <v>1.0406558725132169E-6</v>
      </c>
    </row>
    <row r="2322" spans="1:6" ht="12.75" x14ac:dyDescent="0.2">
      <c r="A2322" s="1">
        <v>96</v>
      </c>
      <c r="B2322" s="1">
        <v>3</v>
      </c>
      <c r="C2322" s="1" t="s">
        <v>7</v>
      </c>
      <c r="D2322" s="1" t="s">
        <v>9</v>
      </c>
      <c r="E2322" s="1">
        <v>4.3598761558532697</v>
      </c>
      <c r="F2322" s="1">
        <f>Tabla1[[#This Row],[tiempo]]/(IF(Tabla1[[#This Row],[tamanho]]=$I$3,$L$3,IF(Tabla1[[#This Row],[tamanho]]=$I$4,$L$4,IF(Tabla1[[#This Row],[tamanho]]=$I$5,$L$5,IF(Tabla1[[#This Row],[tamanho]]=$I$6,$L$6,0))))*IF(C2322="8_1",9,25))</f>
        <v>4.2200551776788258E-7</v>
      </c>
    </row>
    <row r="2323" spans="1:6" ht="12.75" x14ac:dyDescent="0.2">
      <c r="A2323" s="1">
        <v>96</v>
      </c>
      <c r="B2323" s="1">
        <v>3</v>
      </c>
      <c r="C2323" s="1" t="s">
        <v>8</v>
      </c>
      <c r="D2323" s="1" t="s">
        <v>9</v>
      </c>
      <c r="E2323" s="1">
        <v>4.3757750988006503</v>
      </c>
      <c r="F2323" s="1">
        <f>Tabla1[[#This Row],[tiempo]]/(IF(Tabla1[[#This Row],[tamanho]]=$I$3,$L$3,IF(Tabla1[[#This Row],[tamanho]]=$I$4,$L$4,IF(Tabla1[[#This Row],[tamanho]]=$I$5,$L$5,IF(Tabla1[[#This Row],[tamanho]]=$I$6,$L$6,0))))*IF(C2323="8_1",9,25))</f>
        <v>4.235444242438071E-7</v>
      </c>
    </row>
    <row r="2324" spans="1:6" ht="12.75" x14ac:dyDescent="0.2">
      <c r="A2324" s="1">
        <v>96</v>
      </c>
      <c r="B2324" s="1">
        <v>4</v>
      </c>
      <c r="C2324" s="1" t="s">
        <v>5</v>
      </c>
      <c r="D2324" s="1" t="s">
        <v>6</v>
      </c>
      <c r="E2324" s="1">
        <v>6.8625462055206299</v>
      </c>
      <c r="F2324" s="1">
        <f>Tabla1[[#This Row],[tiempo]]/(IF(Tabla1[[#This Row],[tamanho]]=$I$3,$L$3,IF(Tabla1[[#This Row],[tamanho]]=$I$4,$L$4,IF(Tabla1[[#This Row],[tamanho]]=$I$5,$L$5,IF(Tabla1[[#This Row],[tamanho]]=$I$6,$L$6,0))))*IF(C2324="8_1",9,25))</f>
        <v>1.0362897867319605E-6</v>
      </c>
    </row>
    <row r="2325" spans="1:6" ht="12.75" x14ac:dyDescent="0.2">
      <c r="A2325" s="1">
        <v>96</v>
      </c>
      <c r="B2325" s="1">
        <v>4</v>
      </c>
      <c r="C2325" s="1" t="s">
        <v>7</v>
      </c>
      <c r="D2325" s="1" t="s">
        <v>6</v>
      </c>
      <c r="E2325" s="1">
        <v>7.7452867031097403</v>
      </c>
      <c r="F2325" s="1">
        <f>Tabla1[[#This Row],[tiempo]]/(IF(Tabla1[[#This Row],[tamanho]]=$I$3,$L$3,IF(Tabla1[[#This Row],[tamanho]]=$I$4,$L$4,IF(Tabla1[[#This Row],[tamanho]]=$I$5,$L$5,IF(Tabla1[[#This Row],[tamanho]]=$I$6,$L$6,0))))*IF(C2325="8_1",9,25))</f>
        <v>4.2105219484616076E-7</v>
      </c>
    </row>
    <row r="2326" spans="1:6" ht="12.75" x14ac:dyDescent="0.2">
      <c r="A2326" s="1">
        <v>96</v>
      </c>
      <c r="B2326" s="1">
        <v>4</v>
      </c>
      <c r="C2326" s="1" t="s">
        <v>8</v>
      </c>
      <c r="D2326" s="1" t="s">
        <v>6</v>
      </c>
      <c r="E2326" s="1">
        <v>7.7332994937896702</v>
      </c>
      <c r="F2326" s="1">
        <f>Tabla1[[#This Row],[tiempo]]/(IF(Tabla1[[#This Row],[tamanho]]=$I$3,$L$3,IF(Tabla1[[#This Row],[tamanho]]=$I$4,$L$4,IF(Tabla1[[#This Row],[tamanho]]=$I$5,$L$5,IF(Tabla1[[#This Row],[tamanho]]=$I$6,$L$6,0))))*IF(C2326="8_1",9,25))</f>
        <v>4.2040054165528929E-7</v>
      </c>
    </row>
    <row r="2327" spans="1:6" ht="12.75" x14ac:dyDescent="0.2">
      <c r="A2327" s="1">
        <v>96</v>
      </c>
      <c r="B2327" s="1">
        <v>4</v>
      </c>
      <c r="C2327" s="1" t="s">
        <v>5</v>
      </c>
      <c r="D2327" s="1" t="s">
        <v>9</v>
      </c>
      <c r="E2327" s="1">
        <v>6.8784282207488996</v>
      </c>
      <c r="F2327" s="1">
        <f>Tabla1[[#This Row],[tiempo]]/(IF(Tabla1[[#This Row],[tamanho]]=$I$3,$L$3,IF(Tabla1[[#This Row],[tamanho]]=$I$4,$L$4,IF(Tabla1[[#This Row],[tamanho]]=$I$5,$L$5,IF(Tabla1[[#This Row],[tamanho]]=$I$6,$L$6,0))))*IF(C2327="8_1",9,25))</f>
        <v>1.0386880758918261E-6</v>
      </c>
    </row>
    <row r="2328" spans="1:6" ht="12.75" x14ac:dyDescent="0.2">
      <c r="A2328" s="1">
        <v>96</v>
      </c>
      <c r="B2328" s="1">
        <v>4</v>
      </c>
      <c r="C2328" s="1" t="s">
        <v>7</v>
      </c>
      <c r="D2328" s="1" t="s">
        <v>9</v>
      </c>
      <c r="E2328" s="1">
        <v>7.7253239154815603</v>
      </c>
      <c r="F2328" s="1">
        <f>Tabla1[[#This Row],[tiempo]]/(IF(Tabla1[[#This Row],[tamanho]]=$I$3,$L$3,IF(Tabla1[[#This Row],[tamanho]]=$I$4,$L$4,IF(Tabla1[[#This Row],[tamanho]]=$I$5,$L$5,IF(Tabla1[[#This Row],[tamanho]]=$I$6,$L$6,0))))*IF(C2328="8_1",9,25))</f>
        <v>4.1996697026141834E-7</v>
      </c>
    </row>
    <row r="2329" spans="1:6" ht="12.75" x14ac:dyDescent="0.2">
      <c r="A2329" s="1">
        <v>96</v>
      </c>
      <c r="B2329" s="1">
        <v>4</v>
      </c>
      <c r="C2329" s="1" t="s">
        <v>8</v>
      </c>
      <c r="D2329" s="1" t="s">
        <v>9</v>
      </c>
      <c r="E2329" s="1">
        <v>7.7872729301452601</v>
      </c>
      <c r="F2329" s="1">
        <f>Tabla1[[#This Row],[tiempo]]/(IF(Tabla1[[#This Row],[tamanho]]=$I$3,$L$3,IF(Tabla1[[#This Row],[tamanho]]=$I$4,$L$4,IF(Tabla1[[#This Row],[tamanho]]=$I$5,$L$5,IF(Tabla1[[#This Row],[tamanho]]=$I$6,$L$6,0))))*IF(C2329="8_1",9,25))</f>
        <v>4.2333466594429541E-7</v>
      </c>
    </row>
    <row r="2330" spans="1:6" ht="12.75" x14ac:dyDescent="0.2">
      <c r="A2330" s="1">
        <v>97</v>
      </c>
      <c r="B2330" s="1">
        <v>1</v>
      </c>
      <c r="C2330" s="1" t="s">
        <v>5</v>
      </c>
      <c r="D2330" s="1" t="s">
        <v>6</v>
      </c>
      <c r="E2330" s="1">
        <v>0.41379404067993097</v>
      </c>
      <c r="F2330" s="1">
        <f>Tabla1[[#This Row],[tiempo]]/(IF(Tabla1[[#This Row],[tamanho]]=$I$3,$L$3,IF(Tabla1[[#This Row],[tamanho]]=$I$4,$L$4,IF(Tabla1[[#This Row],[tamanho]]=$I$5,$L$5,IF(Tabla1[[#This Row],[tamanho]]=$I$6,$L$6,0))))*IF(C2330="8_1",9,25))</f>
        <v>1.7053193735804845E-6</v>
      </c>
    </row>
    <row r="2331" spans="1:6" ht="12.75" x14ac:dyDescent="0.2">
      <c r="A2331" s="1">
        <v>97</v>
      </c>
      <c r="B2331" s="1">
        <v>1</v>
      </c>
      <c r="C2331" s="1" t="s">
        <v>7</v>
      </c>
      <c r="D2331" s="1" t="s">
        <v>6</v>
      </c>
      <c r="E2331" s="1">
        <v>0.46412277221679599</v>
      </c>
      <c r="F2331" s="1">
        <f>Tabla1[[#This Row],[tiempo]]/(IF(Tabla1[[#This Row],[tamanho]]=$I$3,$L$3,IF(Tabla1[[#This Row],[tamanho]]=$I$4,$L$4,IF(Tabla1[[#This Row],[tamanho]]=$I$5,$L$5,IF(Tabla1[[#This Row],[tamanho]]=$I$6,$L$6,0))))*IF(C2331="8_1",9,25))</f>
        <v>6.8858391338124841E-7</v>
      </c>
    </row>
    <row r="2332" spans="1:6" ht="12.75" x14ac:dyDescent="0.2">
      <c r="A2332" s="1">
        <v>97</v>
      </c>
      <c r="B2332" s="1">
        <v>1</v>
      </c>
      <c r="C2332" s="1" t="s">
        <v>8</v>
      </c>
      <c r="D2332" s="1" t="s">
        <v>6</v>
      </c>
      <c r="E2332" s="1">
        <v>0.46183824539184498</v>
      </c>
      <c r="F2332" s="1">
        <f>Tabla1[[#This Row],[tiempo]]/(IF(Tabla1[[#This Row],[tamanho]]=$I$3,$L$3,IF(Tabla1[[#This Row],[tamanho]]=$I$4,$L$4,IF(Tabla1[[#This Row],[tamanho]]=$I$5,$L$5,IF(Tabla1[[#This Row],[tamanho]]=$I$6,$L$6,0))))*IF(C2332="8_1",9,25))</f>
        <v>6.8519453342508803E-7</v>
      </c>
    </row>
    <row r="2333" spans="1:6" ht="12.75" x14ac:dyDescent="0.2">
      <c r="A2333" s="1">
        <v>97</v>
      </c>
      <c r="B2333" s="1">
        <v>1</v>
      </c>
      <c r="C2333" s="1" t="s">
        <v>5</v>
      </c>
      <c r="D2333" s="1" t="s">
        <v>9</v>
      </c>
      <c r="E2333" s="1">
        <v>0.41042757034301702</v>
      </c>
      <c r="F2333" s="1">
        <f>Tabla1[[#This Row],[tiempo]]/(IF(Tabla1[[#This Row],[tamanho]]=$I$3,$L$3,IF(Tabla1[[#This Row],[tamanho]]=$I$4,$L$4,IF(Tabla1[[#This Row],[tamanho]]=$I$5,$L$5,IF(Tabla1[[#This Row],[tamanho]]=$I$6,$L$6,0))))*IF(C2333="8_1",9,25))</f>
        <v>1.6914455462129126E-6</v>
      </c>
    </row>
    <row r="2334" spans="1:6" ht="12.75" x14ac:dyDescent="0.2">
      <c r="A2334" s="1">
        <v>97</v>
      </c>
      <c r="B2334" s="1">
        <v>1</v>
      </c>
      <c r="C2334" s="1" t="s">
        <v>7</v>
      </c>
      <c r="D2334" s="1" t="s">
        <v>9</v>
      </c>
      <c r="E2334" s="1">
        <v>0.45993113517761203</v>
      </c>
      <c r="F2334" s="1">
        <f>Tabla1[[#This Row],[tiempo]]/(IF(Tabla1[[#This Row],[tamanho]]=$I$3,$L$3,IF(Tabla1[[#This Row],[tamanho]]=$I$4,$L$4,IF(Tabla1[[#This Row],[tamanho]]=$I$5,$L$5,IF(Tabla1[[#This Row],[tamanho]]=$I$6,$L$6,0))))*IF(C2334="8_1",9,25))</f>
        <v>6.8236509799727313E-7</v>
      </c>
    </row>
    <row r="2335" spans="1:6" ht="12.75" x14ac:dyDescent="0.2">
      <c r="A2335" s="1">
        <v>97</v>
      </c>
      <c r="B2335" s="1">
        <v>1</v>
      </c>
      <c r="C2335" s="1" t="s">
        <v>8</v>
      </c>
      <c r="D2335" s="1" t="s">
        <v>9</v>
      </c>
      <c r="E2335" s="1">
        <v>0.47169566154479903</v>
      </c>
      <c r="F2335" s="1">
        <f>Tabla1[[#This Row],[tiempo]]/(IF(Tabla1[[#This Row],[tamanho]]=$I$3,$L$3,IF(Tabla1[[#This Row],[tamanho]]=$I$4,$L$4,IF(Tabla1[[#This Row],[tamanho]]=$I$5,$L$5,IF(Tabla1[[#This Row],[tamanho]]=$I$6,$L$6,0))))*IF(C2335="8_1",9,25))</f>
        <v>6.9981923748347472E-7</v>
      </c>
    </row>
    <row r="2336" spans="1:6" ht="12.75" x14ac:dyDescent="0.2">
      <c r="A2336" s="1">
        <v>97</v>
      </c>
      <c r="B2336" s="1">
        <v>2</v>
      </c>
      <c r="C2336" s="1" t="s">
        <v>5</v>
      </c>
      <c r="D2336" s="1" t="s">
        <v>6</v>
      </c>
      <c r="E2336" s="1">
        <v>1.6932291984558101</v>
      </c>
      <c r="F2336" s="1">
        <f>Tabla1[[#This Row],[tiempo]]/(IF(Tabla1[[#This Row],[tamanho]]=$I$3,$L$3,IF(Tabla1[[#This Row],[tamanho]]=$I$4,$L$4,IF(Tabla1[[#This Row],[tamanho]]=$I$5,$L$5,IF(Tabla1[[#This Row],[tamanho]]=$I$6,$L$6,0))))*IF(C2336="8_1",9,25))</f>
        <v>1.0251445472815309E-6</v>
      </c>
    </row>
    <row r="2337" spans="1:6" ht="12.75" x14ac:dyDescent="0.2">
      <c r="A2337" s="1">
        <v>97</v>
      </c>
      <c r="B2337" s="1">
        <v>2</v>
      </c>
      <c r="C2337" s="1" t="s">
        <v>7</v>
      </c>
      <c r="D2337" s="1" t="s">
        <v>6</v>
      </c>
      <c r="E2337" s="1">
        <v>1.9042539596557599</v>
      </c>
      <c r="F2337" s="1">
        <f>Tabla1[[#This Row],[tiempo]]/(IF(Tabla1[[#This Row],[tamanho]]=$I$3,$L$3,IF(Tabla1[[#This Row],[tamanho]]=$I$4,$L$4,IF(Tabla1[[#This Row],[tamanho]]=$I$5,$L$5,IF(Tabla1[[#This Row],[tamanho]]=$I$6,$L$6,0))))*IF(C2337="8_1",9,25))</f>
        <v>4.1504647064782642E-7</v>
      </c>
    </row>
    <row r="2338" spans="1:6" ht="12.75" x14ac:dyDescent="0.2">
      <c r="A2338" s="1">
        <v>97</v>
      </c>
      <c r="B2338" s="1">
        <v>2</v>
      </c>
      <c r="C2338" s="1" t="s">
        <v>8</v>
      </c>
      <c r="D2338" s="1" t="s">
        <v>6</v>
      </c>
      <c r="E2338" s="1">
        <v>1.90631628036499</v>
      </c>
      <c r="F2338" s="1">
        <f>Tabla1[[#This Row],[tiempo]]/(IF(Tabla1[[#This Row],[tamanho]]=$I$3,$L$3,IF(Tabla1[[#This Row],[tamanho]]=$I$4,$L$4,IF(Tabla1[[#This Row],[tamanho]]=$I$5,$L$5,IF(Tabla1[[#This Row],[tamanho]]=$I$6,$L$6,0))))*IF(C2338="8_1",9,25))</f>
        <v>4.1549596895521845E-7</v>
      </c>
    </row>
    <row r="2339" spans="1:6" ht="12.75" x14ac:dyDescent="0.2">
      <c r="A2339" s="1">
        <v>97</v>
      </c>
      <c r="B2339" s="1">
        <v>2</v>
      </c>
      <c r="C2339" s="1" t="s">
        <v>5</v>
      </c>
      <c r="D2339" s="1" t="s">
        <v>9</v>
      </c>
      <c r="E2339" s="1">
        <v>1.7189791202545099</v>
      </c>
      <c r="F2339" s="1">
        <f>Tabla1[[#This Row],[tiempo]]/(IF(Tabla1[[#This Row],[tamanho]]=$I$3,$L$3,IF(Tabla1[[#This Row],[tamanho]]=$I$4,$L$4,IF(Tabla1[[#This Row],[tamanho]]=$I$5,$L$5,IF(Tabla1[[#This Row],[tamanho]]=$I$6,$L$6,0))))*IF(C2339="8_1",9,25))</f>
        <v>1.0407345169967571E-6</v>
      </c>
    </row>
    <row r="2340" spans="1:6" ht="12.75" x14ac:dyDescent="0.2">
      <c r="A2340" s="1">
        <v>97</v>
      </c>
      <c r="B2340" s="1">
        <v>2</v>
      </c>
      <c r="C2340" s="1" t="s">
        <v>7</v>
      </c>
      <c r="D2340" s="1" t="s">
        <v>9</v>
      </c>
      <c r="E2340" s="1">
        <v>1.9114007949829099</v>
      </c>
      <c r="F2340" s="1">
        <f>Tabla1[[#This Row],[tiempo]]/(IF(Tabla1[[#This Row],[tamanho]]=$I$3,$L$3,IF(Tabla1[[#This Row],[tamanho]]=$I$4,$L$4,IF(Tabla1[[#This Row],[tamanho]]=$I$5,$L$5,IF(Tabla1[[#This Row],[tamanho]]=$I$6,$L$6,0))))*IF(C2340="8_1",9,25))</f>
        <v>4.1660417715214742E-7</v>
      </c>
    </row>
    <row r="2341" spans="1:6" ht="12.75" x14ac:dyDescent="0.2">
      <c r="A2341" s="1">
        <v>97</v>
      </c>
      <c r="B2341" s="1">
        <v>2</v>
      </c>
      <c r="C2341" s="1" t="s">
        <v>8</v>
      </c>
      <c r="D2341" s="1" t="s">
        <v>9</v>
      </c>
      <c r="E2341" s="1">
        <v>1.9296233654022199</v>
      </c>
      <c r="F2341" s="1">
        <f>Tabla1[[#This Row],[tiempo]]/(IF(Tabla1[[#This Row],[tamanho]]=$I$3,$L$3,IF(Tabla1[[#This Row],[tamanho]]=$I$4,$L$4,IF(Tabla1[[#This Row],[tamanho]]=$I$5,$L$5,IF(Tabla1[[#This Row],[tamanho]]=$I$6,$L$6,0))))*IF(C2341="8_1",9,25))</f>
        <v>4.2057592341021129E-7</v>
      </c>
    </row>
    <row r="2342" spans="1:6" ht="12.75" x14ac:dyDescent="0.2">
      <c r="A2342" s="1">
        <v>97</v>
      </c>
      <c r="B2342" s="1">
        <v>3</v>
      </c>
      <c r="C2342" s="1" t="s">
        <v>5</v>
      </c>
      <c r="D2342" s="1" t="s">
        <v>6</v>
      </c>
      <c r="E2342" s="1">
        <v>3.8532845973968501</v>
      </c>
      <c r="F2342" s="1">
        <f>Tabla1[[#This Row],[tiempo]]/(IF(Tabla1[[#This Row],[tamanho]]=$I$3,$L$3,IF(Tabla1[[#This Row],[tamanho]]=$I$4,$L$4,IF(Tabla1[[#This Row],[tamanho]]=$I$5,$L$5,IF(Tabla1[[#This Row],[tamanho]]=$I$6,$L$6,0))))*IF(C2342="8_1",9,25))</f>
        <v>1.0360305503991367E-6</v>
      </c>
    </row>
    <row r="2343" spans="1:6" ht="12.75" x14ac:dyDescent="0.2">
      <c r="A2343" s="1">
        <v>97</v>
      </c>
      <c r="B2343" s="1">
        <v>3</v>
      </c>
      <c r="C2343" s="1" t="s">
        <v>7</v>
      </c>
      <c r="D2343" s="1" t="s">
        <v>6</v>
      </c>
      <c r="E2343" s="1">
        <v>4.33172154426574</v>
      </c>
      <c r="F2343" s="1">
        <f>Tabla1[[#This Row],[tiempo]]/(IF(Tabla1[[#This Row],[tamanho]]=$I$3,$L$3,IF(Tabla1[[#This Row],[tamanho]]=$I$4,$L$4,IF(Tabla1[[#This Row],[tamanho]]=$I$5,$L$5,IF(Tabla1[[#This Row],[tamanho]]=$I$6,$L$6,0))))*IF(C2343="8_1",9,25))</f>
        <v>4.1928034828695642E-7</v>
      </c>
    </row>
    <row r="2344" spans="1:6" ht="12.75" x14ac:dyDescent="0.2">
      <c r="A2344" s="1">
        <v>97</v>
      </c>
      <c r="B2344" s="1">
        <v>3</v>
      </c>
      <c r="C2344" s="1" t="s">
        <v>8</v>
      </c>
      <c r="D2344" s="1" t="s">
        <v>6</v>
      </c>
      <c r="E2344" s="1">
        <v>4.3409676551818803</v>
      </c>
      <c r="F2344" s="1">
        <f>Tabla1[[#This Row],[tiempo]]/(IF(Tabla1[[#This Row],[tamanho]]=$I$3,$L$3,IF(Tabla1[[#This Row],[tamanho]]=$I$4,$L$4,IF(Tabla1[[#This Row],[tamanho]]=$I$5,$L$5,IF(Tabla1[[#This Row],[tamanho]]=$I$6,$L$6,0))))*IF(C2344="8_1",9,25))</f>
        <v>4.2017530715391109E-7</v>
      </c>
    </row>
    <row r="2345" spans="1:6" ht="12.75" x14ac:dyDescent="0.2">
      <c r="A2345" s="1">
        <v>97</v>
      </c>
      <c r="B2345" s="1">
        <v>3</v>
      </c>
      <c r="C2345" s="1" t="s">
        <v>5</v>
      </c>
      <c r="D2345" s="1" t="s">
        <v>9</v>
      </c>
      <c r="E2345" s="1">
        <v>3.8672747611999498</v>
      </c>
      <c r="F2345" s="1">
        <f>Tabla1[[#This Row],[tiempo]]/(IF(Tabla1[[#This Row],[tamanho]]=$I$3,$L$3,IF(Tabla1[[#This Row],[tamanho]]=$I$4,$L$4,IF(Tabla1[[#This Row],[tamanho]]=$I$5,$L$5,IF(Tabla1[[#This Row],[tamanho]]=$I$6,$L$6,0))))*IF(C2345="8_1",9,25))</f>
        <v>1.0397920781915275E-6</v>
      </c>
    </row>
    <row r="2346" spans="1:6" ht="12.75" x14ac:dyDescent="0.2">
      <c r="A2346" s="1">
        <v>97</v>
      </c>
      <c r="B2346" s="1">
        <v>3</v>
      </c>
      <c r="C2346" s="1" t="s">
        <v>7</v>
      </c>
      <c r="D2346" s="1" t="s">
        <v>9</v>
      </c>
      <c r="E2346" s="1">
        <v>4.3257021903991699</v>
      </c>
      <c r="F2346" s="1">
        <f>Tabla1[[#This Row],[tiempo]]/(IF(Tabla1[[#This Row],[tamanho]]=$I$3,$L$3,IF(Tabla1[[#This Row],[tamanho]]=$I$4,$L$4,IF(Tabla1[[#This Row],[tamanho]]=$I$5,$L$5,IF(Tabla1[[#This Row],[tamanho]]=$I$6,$L$6,0))))*IF(C2346="8_1",9,25))</f>
        <v>4.1869771693361404E-7</v>
      </c>
    </row>
    <row r="2347" spans="1:6" ht="12.75" x14ac:dyDescent="0.2">
      <c r="A2347" s="1">
        <v>97</v>
      </c>
      <c r="B2347" s="1">
        <v>3</v>
      </c>
      <c r="C2347" s="1" t="s">
        <v>8</v>
      </c>
      <c r="D2347" s="1" t="s">
        <v>9</v>
      </c>
      <c r="E2347" s="1">
        <v>4.3717808723449698</v>
      </c>
      <c r="F2347" s="1">
        <f>Tabla1[[#This Row],[tiempo]]/(IF(Tabla1[[#This Row],[tamanho]]=$I$3,$L$3,IF(Tabla1[[#This Row],[tamanho]]=$I$4,$L$4,IF(Tabla1[[#This Row],[tamanho]]=$I$5,$L$5,IF(Tabla1[[#This Row],[tamanho]]=$I$6,$L$6,0))))*IF(C2347="8_1",9,25))</f>
        <v>4.2315781105956594E-7</v>
      </c>
    </row>
    <row r="2348" spans="1:6" ht="12.75" x14ac:dyDescent="0.2">
      <c r="A2348" s="1">
        <v>97</v>
      </c>
      <c r="B2348" s="1">
        <v>4</v>
      </c>
      <c r="C2348" s="1" t="s">
        <v>5</v>
      </c>
      <c r="D2348" s="1" t="s">
        <v>6</v>
      </c>
      <c r="E2348" s="1">
        <v>6.8726074695587096</v>
      </c>
      <c r="F2348" s="1">
        <f>Tabla1[[#This Row],[tiempo]]/(IF(Tabla1[[#This Row],[tamanho]]=$I$3,$L$3,IF(Tabla1[[#This Row],[tamanho]]=$I$4,$L$4,IF(Tabla1[[#This Row],[tamanho]]=$I$5,$L$5,IF(Tabla1[[#This Row],[tamanho]]=$I$6,$L$6,0))))*IF(C2348="8_1",9,25))</f>
        <v>1.0378091040308206E-6</v>
      </c>
    </row>
    <row r="2349" spans="1:6" ht="12.75" x14ac:dyDescent="0.2">
      <c r="A2349" s="1">
        <v>97</v>
      </c>
      <c r="B2349" s="1">
        <v>4</v>
      </c>
      <c r="C2349" s="1" t="s">
        <v>7</v>
      </c>
      <c r="D2349" s="1" t="s">
        <v>6</v>
      </c>
      <c r="E2349" s="1">
        <v>7.7392649650573704</v>
      </c>
      <c r="F2349" s="1">
        <f>Tabla1[[#This Row],[tiempo]]/(IF(Tabla1[[#This Row],[tamanho]]=$I$3,$L$3,IF(Tabla1[[#This Row],[tamanho]]=$I$4,$L$4,IF(Tabla1[[#This Row],[tamanho]]=$I$5,$L$5,IF(Tabla1[[#This Row],[tamanho]]=$I$6,$L$6,0))))*IF(C2349="8_1",9,25))</f>
        <v>4.2072483885264782E-7</v>
      </c>
    </row>
    <row r="2350" spans="1:6" ht="12.75" x14ac:dyDescent="0.2">
      <c r="A2350" s="1">
        <v>97</v>
      </c>
      <c r="B2350" s="1">
        <v>4</v>
      </c>
      <c r="C2350" s="1" t="s">
        <v>8</v>
      </c>
      <c r="D2350" s="1" t="s">
        <v>6</v>
      </c>
      <c r="E2350" s="1">
        <v>7.7101743221282897</v>
      </c>
      <c r="F2350" s="1">
        <f>Tabla1[[#This Row],[tiempo]]/(IF(Tabla1[[#This Row],[tamanho]]=$I$3,$L$3,IF(Tabla1[[#This Row],[tamanho]]=$I$4,$L$4,IF(Tabla1[[#This Row],[tamanho]]=$I$5,$L$5,IF(Tabla1[[#This Row],[tamanho]]=$I$6,$L$6,0))))*IF(C2350="8_1",9,25))</f>
        <v>4.1914340235787511E-7</v>
      </c>
    </row>
    <row r="2351" spans="1:6" ht="12.75" x14ac:dyDescent="0.2">
      <c r="A2351" s="1">
        <v>97</v>
      </c>
      <c r="B2351" s="1">
        <v>4</v>
      </c>
      <c r="C2351" s="1" t="s">
        <v>5</v>
      </c>
      <c r="D2351" s="1" t="s">
        <v>9</v>
      </c>
      <c r="E2351" s="1">
        <v>6.8812975883483798</v>
      </c>
      <c r="F2351" s="1">
        <f>Tabla1[[#This Row],[tiempo]]/(IF(Tabla1[[#This Row],[tamanho]]=$I$3,$L$3,IF(Tabla1[[#This Row],[tamanho]]=$I$4,$L$4,IF(Tabla1[[#This Row],[tamanho]]=$I$5,$L$5,IF(Tabla1[[#This Row],[tamanho]]=$I$6,$L$6,0))))*IF(C2351="8_1",9,25))</f>
        <v>1.0391213693442372E-6</v>
      </c>
    </row>
    <row r="2352" spans="1:6" ht="12.75" x14ac:dyDescent="0.2">
      <c r="A2352" s="1">
        <v>97</v>
      </c>
      <c r="B2352" s="1">
        <v>4</v>
      </c>
      <c r="C2352" s="1" t="s">
        <v>7</v>
      </c>
      <c r="D2352" s="1" t="s">
        <v>9</v>
      </c>
      <c r="E2352" s="1">
        <v>7.7259671688079798</v>
      </c>
      <c r="F2352" s="1">
        <f>Tabla1[[#This Row],[tiempo]]/(IF(Tabla1[[#This Row],[tamanho]]=$I$3,$L$3,IF(Tabla1[[#This Row],[tamanho]]=$I$4,$L$4,IF(Tabla1[[#This Row],[tamanho]]=$I$5,$L$5,IF(Tabla1[[#This Row],[tamanho]]=$I$6,$L$6,0))))*IF(C2352="8_1",9,25))</f>
        <v>4.2000193904118247E-7</v>
      </c>
    </row>
    <row r="2353" spans="1:6" ht="12.75" x14ac:dyDescent="0.2">
      <c r="A2353" s="1">
        <v>97</v>
      </c>
      <c r="B2353" s="1">
        <v>4</v>
      </c>
      <c r="C2353" s="1" t="s">
        <v>8</v>
      </c>
      <c r="D2353" s="1" t="s">
        <v>9</v>
      </c>
      <c r="E2353" s="1">
        <v>7.8018412590026802</v>
      </c>
      <c r="F2353" s="1">
        <f>Tabla1[[#This Row],[tiempo]]/(IF(Tabla1[[#This Row],[tamanho]]=$I$3,$L$3,IF(Tabla1[[#This Row],[tamanho]]=$I$4,$L$4,IF(Tabla1[[#This Row],[tamanho]]=$I$5,$L$5,IF(Tabla1[[#This Row],[tamanho]]=$I$6,$L$6,0))))*IF(C2353="8_1",9,25))</f>
        <v>4.2412663492824466E-7</v>
      </c>
    </row>
    <row r="2354" spans="1:6" ht="12.75" x14ac:dyDescent="0.2">
      <c r="A2354" s="1">
        <v>98</v>
      </c>
      <c r="B2354" s="1">
        <v>1</v>
      </c>
      <c r="C2354" s="1" t="s">
        <v>5</v>
      </c>
      <c r="D2354" s="1" t="s">
        <v>6</v>
      </c>
      <c r="E2354" s="1">
        <v>0.40988278388977001</v>
      </c>
      <c r="F2354" s="1">
        <f>Tabla1[[#This Row],[tiempo]]/(IF(Tabla1[[#This Row],[tamanho]]=$I$3,$L$3,IF(Tabla1[[#This Row],[tamanho]]=$I$4,$L$4,IF(Tabla1[[#This Row],[tamanho]]=$I$5,$L$5,IF(Tabla1[[#This Row],[tamanho]]=$I$6,$L$6,0))))*IF(C2354="8_1",9,25))</f>
        <v>1.6892003836396194E-6</v>
      </c>
    </row>
    <row r="2355" spans="1:6" ht="12.75" x14ac:dyDescent="0.2">
      <c r="A2355" s="1">
        <v>98</v>
      </c>
      <c r="B2355" s="1">
        <v>1</v>
      </c>
      <c r="C2355" s="1" t="s">
        <v>7</v>
      </c>
      <c r="D2355" s="1" t="s">
        <v>6</v>
      </c>
      <c r="E2355" s="1">
        <v>0.460220336914062</v>
      </c>
      <c r="F2355" s="1">
        <f>Tabla1[[#This Row],[tiempo]]/(IF(Tabla1[[#This Row],[tamanho]]=$I$3,$L$3,IF(Tabla1[[#This Row],[tamanho]]=$I$4,$L$4,IF(Tabla1[[#This Row],[tamanho]]=$I$5,$L$5,IF(Tabla1[[#This Row],[tamanho]]=$I$6,$L$6,0))))*IF(C2355="8_1",9,25))</f>
        <v>6.8279416477736285E-7</v>
      </c>
    </row>
    <row r="2356" spans="1:6" ht="12.75" x14ac:dyDescent="0.2">
      <c r="A2356" s="1">
        <v>98</v>
      </c>
      <c r="B2356" s="1">
        <v>1</v>
      </c>
      <c r="C2356" s="1" t="s">
        <v>8</v>
      </c>
      <c r="D2356" s="1" t="s">
        <v>6</v>
      </c>
      <c r="E2356" s="1">
        <v>0.463728427886962</v>
      </c>
      <c r="F2356" s="1">
        <f>Tabla1[[#This Row],[tiempo]]/(IF(Tabla1[[#This Row],[tamanho]]=$I$3,$L$3,IF(Tabla1[[#This Row],[tamanho]]=$I$4,$L$4,IF(Tabla1[[#This Row],[tamanho]]=$I$5,$L$5,IF(Tabla1[[#This Row],[tamanho]]=$I$6,$L$6,0))))*IF(C2356="8_1",9,25))</f>
        <v>6.8799885447418418E-7</v>
      </c>
    </row>
    <row r="2357" spans="1:6" ht="12.75" x14ac:dyDescent="0.2">
      <c r="A2357" s="1">
        <v>98</v>
      </c>
      <c r="B2357" s="1">
        <v>1</v>
      </c>
      <c r="C2357" s="1" t="s">
        <v>5</v>
      </c>
      <c r="D2357" s="1" t="s">
        <v>9</v>
      </c>
      <c r="E2357" s="1">
        <v>0.40904831886291498</v>
      </c>
      <c r="F2357" s="1">
        <f>Tabla1[[#This Row],[tiempo]]/(IF(Tabla1[[#This Row],[tamanho]]=$I$3,$L$3,IF(Tabla1[[#This Row],[tamanho]]=$I$4,$L$4,IF(Tabla1[[#This Row],[tamanho]]=$I$5,$L$5,IF(Tabla1[[#This Row],[tamanho]]=$I$6,$L$6,0))))*IF(C2357="8_1",9,25))</f>
        <v>1.6857614037680559E-6</v>
      </c>
    </row>
    <row r="2358" spans="1:6" ht="12.75" x14ac:dyDescent="0.2">
      <c r="A2358" s="1">
        <v>98</v>
      </c>
      <c r="B2358" s="1">
        <v>1</v>
      </c>
      <c r="C2358" s="1" t="s">
        <v>7</v>
      </c>
      <c r="D2358" s="1" t="s">
        <v>9</v>
      </c>
      <c r="E2358" s="1">
        <v>0.46061897277831998</v>
      </c>
      <c r="F2358" s="1">
        <f>Tabla1[[#This Row],[tiempo]]/(IF(Tabla1[[#This Row],[tamanho]]=$I$3,$L$3,IF(Tabla1[[#This Row],[tamanho]]=$I$4,$L$4,IF(Tabla1[[#This Row],[tamanho]]=$I$5,$L$5,IF(Tabla1[[#This Row],[tamanho]]=$I$6,$L$6,0))))*IF(C2358="8_1",9,25))</f>
        <v>6.8338559071001819E-7</v>
      </c>
    </row>
    <row r="2359" spans="1:6" ht="12.75" x14ac:dyDescent="0.2">
      <c r="A2359" s="1">
        <v>98</v>
      </c>
      <c r="B2359" s="1">
        <v>1</v>
      </c>
      <c r="C2359" s="1" t="s">
        <v>8</v>
      </c>
      <c r="D2359" s="1" t="s">
        <v>9</v>
      </c>
      <c r="E2359" s="1">
        <v>0.465282201766967</v>
      </c>
      <c r="F2359" s="1">
        <f>Tabla1[[#This Row],[tiempo]]/(IF(Tabla1[[#This Row],[tamanho]]=$I$3,$L$3,IF(Tabla1[[#This Row],[tamanho]]=$I$4,$L$4,IF(Tabla1[[#This Row],[tamanho]]=$I$5,$L$5,IF(Tabla1[[#This Row],[tamanho]]=$I$6,$L$6,0))))*IF(C2359="8_1",9,25))</f>
        <v>6.9030407146169207E-7</v>
      </c>
    </row>
    <row r="2360" spans="1:6" ht="12.75" x14ac:dyDescent="0.2">
      <c r="A2360" s="1">
        <v>98</v>
      </c>
      <c r="B2360" s="1">
        <v>2</v>
      </c>
      <c r="C2360" s="1" t="s">
        <v>5</v>
      </c>
      <c r="D2360" s="1" t="s">
        <v>6</v>
      </c>
      <c r="E2360" s="1">
        <v>1.69035649299621</v>
      </c>
      <c r="F2360" s="1">
        <f>Tabla1[[#This Row],[tiempo]]/(IF(Tabla1[[#This Row],[tamanho]]=$I$3,$L$3,IF(Tabla1[[#This Row],[tamanho]]=$I$4,$L$4,IF(Tabla1[[#This Row],[tamanho]]=$I$5,$L$5,IF(Tabla1[[#This Row],[tamanho]]=$I$6,$L$6,0))))*IF(C2360="8_1",9,25))</f>
        <v>1.0234053035096065E-6</v>
      </c>
    </row>
    <row r="2361" spans="1:6" ht="12.75" x14ac:dyDescent="0.2">
      <c r="A2361" s="1">
        <v>98</v>
      </c>
      <c r="B2361" s="1">
        <v>2</v>
      </c>
      <c r="C2361" s="1" t="s">
        <v>7</v>
      </c>
      <c r="D2361" s="1" t="s">
        <v>6</v>
      </c>
      <c r="E2361" s="1">
        <v>1.90326452255249</v>
      </c>
      <c r="F2361" s="1">
        <f>Tabla1[[#This Row],[tiempo]]/(IF(Tabla1[[#This Row],[tamanho]]=$I$3,$L$3,IF(Tabla1[[#This Row],[tamanho]]=$I$4,$L$4,IF(Tabla1[[#This Row],[tamanho]]=$I$5,$L$5,IF(Tabla1[[#This Row],[tamanho]]=$I$6,$L$6,0))))*IF(C2361="8_1",9,25))</f>
        <v>4.1483081539052322E-7</v>
      </c>
    </row>
    <row r="2362" spans="1:6" ht="12.75" x14ac:dyDescent="0.2">
      <c r="A2362" s="1">
        <v>98</v>
      </c>
      <c r="B2362" s="1">
        <v>2</v>
      </c>
      <c r="C2362" s="1" t="s">
        <v>8</v>
      </c>
      <c r="D2362" s="1" t="s">
        <v>6</v>
      </c>
      <c r="E2362" s="1">
        <v>1.9057147502899101</v>
      </c>
      <c r="F2362" s="1">
        <f>Tabla1[[#This Row],[tiempo]]/(IF(Tabla1[[#This Row],[tamanho]]=$I$3,$L$3,IF(Tabla1[[#This Row],[tamanho]]=$I$4,$L$4,IF(Tabla1[[#This Row],[tamanho]]=$I$5,$L$5,IF(Tabla1[[#This Row],[tamanho]]=$I$6,$L$6,0))))*IF(C2362="8_1",9,25))</f>
        <v>4.153648609518009E-7</v>
      </c>
    </row>
    <row r="2363" spans="1:6" ht="12.75" x14ac:dyDescent="0.2">
      <c r="A2363" s="1">
        <v>98</v>
      </c>
      <c r="B2363" s="1">
        <v>2</v>
      </c>
      <c r="C2363" s="1" t="s">
        <v>5</v>
      </c>
      <c r="D2363" s="1" t="s">
        <v>9</v>
      </c>
      <c r="E2363" s="1">
        <v>1.6982383728027299</v>
      </c>
      <c r="F2363" s="1">
        <f>Tabla1[[#This Row],[tiempo]]/(IF(Tabla1[[#This Row],[tamanho]]=$I$3,$L$3,IF(Tabla1[[#This Row],[tamanho]]=$I$4,$L$4,IF(Tabla1[[#This Row],[tamanho]]=$I$5,$L$5,IF(Tabla1[[#This Row],[tamanho]]=$I$6,$L$6,0))))*IF(C2363="8_1",9,25))</f>
        <v>1.0281772895545856E-6</v>
      </c>
    </row>
    <row r="2364" spans="1:6" ht="12.75" x14ac:dyDescent="0.2">
      <c r="A2364" s="1">
        <v>98</v>
      </c>
      <c r="B2364" s="1">
        <v>2</v>
      </c>
      <c r="C2364" s="1" t="s">
        <v>7</v>
      </c>
      <c r="D2364" s="1" t="s">
        <v>9</v>
      </c>
      <c r="E2364" s="1">
        <v>1.89879345893859</v>
      </c>
      <c r="F2364" s="1">
        <f>Tabla1[[#This Row],[tiempo]]/(IF(Tabla1[[#This Row],[tamanho]]=$I$3,$L$3,IF(Tabla1[[#This Row],[tamanho]]=$I$4,$L$4,IF(Tabla1[[#This Row],[tamanho]]=$I$5,$L$5,IF(Tabla1[[#This Row],[tamanho]]=$I$6,$L$6,0))))*IF(C2364="8_1",9,25))</f>
        <v>4.1385631345312059E-7</v>
      </c>
    </row>
    <row r="2365" spans="1:6" ht="12.75" x14ac:dyDescent="0.2">
      <c r="A2365" s="1">
        <v>98</v>
      </c>
      <c r="B2365" s="1">
        <v>2</v>
      </c>
      <c r="C2365" s="1" t="s">
        <v>8</v>
      </c>
      <c r="D2365" s="1" t="s">
        <v>9</v>
      </c>
      <c r="E2365" s="1">
        <v>1.9186656475067101</v>
      </c>
      <c r="F2365" s="1">
        <f>Tabla1[[#This Row],[tiempo]]/(IF(Tabla1[[#This Row],[tamanho]]=$I$3,$L$3,IF(Tabla1[[#This Row],[tamanho]]=$I$4,$L$4,IF(Tabla1[[#This Row],[tamanho]]=$I$5,$L$5,IF(Tabla1[[#This Row],[tamanho]]=$I$6,$L$6,0))))*IF(C2365="8_1",9,25))</f>
        <v>4.18187606391977E-7</v>
      </c>
    </row>
    <row r="2366" spans="1:6" ht="12.75" x14ac:dyDescent="0.2">
      <c r="A2366" s="1">
        <v>98</v>
      </c>
      <c r="B2366" s="1">
        <v>3</v>
      </c>
      <c r="C2366" s="1" t="s">
        <v>5</v>
      </c>
      <c r="D2366" s="1" t="s">
        <v>6</v>
      </c>
      <c r="E2366" s="1">
        <v>3.8741164207458398</v>
      </c>
      <c r="F2366" s="1">
        <f>Tabla1[[#This Row],[tiempo]]/(IF(Tabla1[[#This Row],[tamanho]]=$I$3,$L$3,IF(Tabla1[[#This Row],[tamanho]]=$I$4,$L$4,IF(Tabla1[[#This Row],[tamanho]]=$I$5,$L$5,IF(Tabla1[[#This Row],[tamanho]]=$I$6,$L$6,0))))*IF(C2366="8_1",9,25))</f>
        <v>1.0416315915017462E-6</v>
      </c>
    </row>
    <row r="2367" spans="1:6" ht="12.75" x14ac:dyDescent="0.2">
      <c r="A2367" s="1">
        <v>98</v>
      </c>
      <c r="B2367" s="1">
        <v>3</v>
      </c>
      <c r="C2367" s="1" t="s">
        <v>7</v>
      </c>
      <c r="D2367" s="1" t="s">
        <v>6</v>
      </c>
      <c r="E2367" s="1">
        <v>4.3362908363342196</v>
      </c>
      <c r="F2367" s="1">
        <f>Tabla1[[#This Row],[tiempo]]/(IF(Tabla1[[#This Row],[tamanho]]=$I$3,$L$3,IF(Tabla1[[#This Row],[tamanho]]=$I$4,$L$4,IF(Tabla1[[#This Row],[tamanho]]=$I$5,$L$5,IF(Tabla1[[#This Row],[tamanho]]=$I$6,$L$6,0))))*IF(C2367="8_1",9,25))</f>
        <v>4.1972262380035666E-7</v>
      </c>
    </row>
    <row r="2368" spans="1:6" ht="12.75" x14ac:dyDescent="0.2">
      <c r="A2368" s="1">
        <v>98</v>
      </c>
      <c r="B2368" s="1">
        <v>3</v>
      </c>
      <c r="C2368" s="1" t="s">
        <v>8</v>
      </c>
      <c r="D2368" s="1" t="s">
        <v>6</v>
      </c>
      <c r="E2368" s="1">
        <v>4.3552684783935502</v>
      </c>
      <c r="F2368" s="1">
        <f>Tabla1[[#This Row],[tiempo]]/(IF(Tabla1[[#This Row],[tamanho]]=$I$3,$L$3,IF(Tabla1[[#This Row],[tamanho]]=$I$4,$L$4,IF(Tabla1[[#This Row],[tamanho]]=$I$5,$L$5,IF(Tabla1[[#This Row],[tamanho]]=$I$6,$L$6,0))))*IF(C2368="8_1",9,25))</f>
        <v>4.2155952681708784E-7</v>
      </c>
    </row>
    <row r="2369" spans="1:6" ht="12.75" x14ac:dyDescent="0.2">
      <c r="A2369" s="1">
        <v>98</v>
      </c>
      <c r="B2369" s="1">
        <v>3</v>
      </c>
      <c r="C2369" s="1" t="s">
        <v>5</v>
      </c>
      <c r="D2369" s="1" t="s">
        <v>9</v>
      </c>
      <c r="E2369" s="1">
        <v>3.8530235290527299</v>
      </c>
      <c r="F2369" s="1">
        <f>Tabla1[[#This Row],[tiempo]]/(IF(Tabla1[[#This Row],[tamanho]]=$I$3,$L$3,IF(Tabla1[[#This Row],[tamanho]]=$I$4,$L$4,IF(Tabla1[[#This Row],[tamanho]]=$I$5,$L$5,IF(Tabla1[[#This Row],[tamanho]]=$I$6,$L$6,0))))*IF(C2369="8_1",9,25))</f>
        <v>1.0359603570943305E-6</v>
      </c>
    </row>
    <row r="2370" spans="1:6" ht="12.75" x14ac:dyDescent="0.2">
      <c r="A2370" s="1">
        <v>98</v>
      </c>
      <c r="B2370" s="1">
        <v>3</v>
      </c>
      <c r="C2370" s="1" t="s">
        <v>7</v>
      </c>
      <c r="D2370" s="1" t="s">
        <v>9</v>
      </c>
      <c r="E2370" s="1">
        <v>4.3325710296630797</v>
      </c>
      <c r="F2370" s="1">
        <f>Tabla1[[#This Row],[tiempo]]/(IF(Tabla1[[#This Row],[tamanho]]=$I$3,$L$3,IF(Tabla1[[#This Row],[tamanho]]=$I$4,$L$4,IF(Tabla1[[#This Row],[tamanho]]=$I$5,$L$5,IF(Tabla1[[#This Row],[tamanho]]=$I$6,$L$6,0))))*IF(C2370="8_1",9,25))</f>
        <v>4.1936257253189495E-7</v>
      </c>
    </row>
    <row r="2371" spans="1:6" ht="12.75" x14ac:dyDescent="0.2">
      <c r="A2371" s="1">
        <v>98</v>
      </c>
      <c r="B2371" s="1">
        <v>3</v>
      </c>
      <c r="C2371" s="1" t="s">
        <v>8</v>
      </c>
      <c r="D2371" s="1" t="s">
        <v>9</v>
      </c>
      <c r="E2371" s="1">
        <v>4.3721389770507804</v>
      </c>
      <c r="F2371" s="1">
        <f>Tabla1[[#This Row],[tiempo]]/(IF(Tabla1[[#This Row],[tamanho]]=$I$3,$L$3,IF(Tabla1[[#This Row],[tamanho]]=$I$4,$L$4,IF(Tabla1[[#This Row],[tamanho]]=$I$5,$L$5,IF(Tabla1[[#This Row],[tamanho]]=$I$6,$L$6,0))))*IF(C2371="8_1",9,25))</f>
        <v>4.2319247309041001E-7</v>
      </c>
    </row>
    <row r="2372" spans="1:6" ht="12.75" x14ac:dyDescent="0.2">
      <c r="A2372" s="1">
        <v>98</v>
      </c>
      <c r="B2372" s="1">
        <v>4</v>
      </c>
      <c r="C2372" s="1" t="s">
        <v>5</v>
      </c>
      <c r="D2372" s="1" t="s">
        <v>6</v>
      </c>
      <c r="E2372" s="1">
        <v>6.8971259593963596</v>
      </c>
      <c r="F2372" s="1">
        <f>Tabla1[[#This Row],[tiempo]]/(IF(Tabla1[[#This Row],[tamanho]]=$I$3,$L$3,IF(Tabla1[[#This Row],[tamanho]]=$I$4,$L$4,IF(Tabla1[[#This Row],[tamanho]]=$I$5,$L$5,IF(Tabla1[[#This Row],[tamanho]]=$I$6,$L$6,0))))*IF(C2372="8_1",9,25))</f>
        <v>1.0415115578786955E-6</v>
      </c>
    </row>
    <row r="2373" spans="1:6" ht="12.75" x14ac:dyDescent="0.2">
      <c r="A2373" s="1">
        <v>98</v>
      </c>
      <c r="B2373" s="1">
        <v>4</v>
      </c>
      <c r="C2373" s="1" t="s">
        <v>7</v>
      </c>
      <c r="D2373" s="1" t="s">
        <v>6</v>
      </c>
      <c r="E2373" s="1">
        <v>7.7015194892883301</v>
      </c>
      <c r="F2373" s="1">
        <f>Tabla1[[#This Row],[tiempo]]/(IF(Tabla1[[#This Row],[tamanho]]=$I$3,$L$3,IF(Tabla1[[#This Row],[tamanho]]=$I$4,$L$4,IF(Tabla1[[#This Row],[tamanho]]=$I$5,$L$5,IF(Tabla1[[#This Row],[tamanho]]=$I$6,$L$6,0))))*IF(C2373="8_1",9,25))</f>
        <v>4.1867290507314212E-7</v>
      </c>
    </row>
    <row r="2374" spans="1:6" ht="12.75" x14ac:dyDescent="0.2">
      <c r="A2374" s="1">
        <v>98</v>
      </c>
      <c r="B2374" s="1">
        <v>4</v>
      </c>
      <c r="C2374" s="1" t="s">
        <v>8</v>
      </c>
      <c r="D2374" s="1" t="s">
        <v>6</v>
      </c>
      <c r="E2374" s="1">
        <v>7.7262949943542401</v>
      </c>
      <c r="F2374" s="1">
        <f>Tabla1[[#This Row],[tiempo]]/(IF(Tabla1[[#This Row],[tamanho]]=$I$3,$L$3,IF(Tabla1[[#This Row],[tamanho]]=$I$4,$L$4,IF(Tabla1[[#This Row],[tamanho]]=$I$5,$L$5,IF(Tabla1[[#This Row],[tamanho]]=$I$6,$L$6,0))))*IF(C2374="8_1",9,25))</f>
        <v>4.200197604170812E-7</v>
      </c>
    </row>
    <row r="2375" spans="1:6" ht="12.75" x14ac:dyDescent="0.2">
      <c r="A2375" s="1">
        <v>98</v>
      </c>
      <c r="B2375" s="1">
        <v>4</v>
      </c>
      <c r="C2375" s="1" t="s">
        <v>5</v>
      </c>
      <c r="D2375" s="1" t="s">
        <v>9</v>
      </c>
      <c r="E2375" s="1">
        <v>6.8824882507324201</v>
      </c>
      <c r="F2375" s="1">
        <f>Tabla1[[#This Row],[tiempo]]/(IF(Tabla1[[#This Row],[tamanho]]=$I$3,$L$3,IF(Tabla1[[#This Row],[tamanho]]=$I$4,$L$4,IF(Tabla1[[#This Row],[tamanho]]=$I$5,$L$5,IF(Tabla1[[#This Row],[tamanho]]=$I$6,$L$6,0))))*IF(C2375="8_1",9,25))</f>
        <v>1.03930116722553E-6</v>
      </c>
    </row>
    <row r="2376" spans="1:6" ht="12.75" x14ac:dyDescent="0.2">
      <c r="A2376" s="1">
        <v>98</v>
      </c>
      <c r="B2376" s="1">
        <v>4</v>
      </c>
      <c r="C2376" s="1" t="s">
        <v>7</v>
      </c>
      <c r="D2376" s="1" t="s">
        <v>9</v>
      </c>
      <c r="E2376" s="1">
        <v>7.7559163570403999</v>
      </c>
      <c r="F2376" s="1">
        <f>Tabla1[[#This Row],[tiempo]]/(IF(Tabla1[[#This Row],[tamanho]]=$I$3,$L$3,IF(Tabla1[[#This Row],[tamanho]]=$I$4,$L$4,IF(Tabla1[[#This Row],[tamanho]]=$I$5,$L$5,IF(Tabla1[[#This Row],[tamanho]]=$I$6,$L$6,0))))*IF(C2376="8_1",9,25))</f>
        <v>4.2163004809930917E-7</v>
      </c>
    </row>
    <row r="2377" spans="1:6" ht="12.75" x14ac:dyDescent="0.2">
      <c r="A2377" s="1">
        <v>98</v>
      </c>
      <c r="B2377" s="1">
        <v>4</v>
      </c>
      <c r="C2377" s="1" t="s">
        <v>8</v>
      </c>
      <c r="D2377" s="1" t="s">
        <v>9</v>
      </c>
      <c r="E2377" s="1">
        <v>7.8275744915008501</v>
      </c>
      <c r="F2377" s="1">
        <f>Tabla1[[#This Row],[tiempo]]/(IF(Tabla1[[#This Row],[tamanho]]=$I$3,$L$3,IF(Tabla1[[#This Row],[tamanho]]=$I$4,$L$4,IF(Tabla1[[#This Row],[tamanho]]=$I$5,$L$5,IF(Tabla1[[#This Row],[tamanho]]=$I$6,$L$6,0))))*IF(C2377="8_1",9,25))</f>
        <v>4.2552555461181051E-7</v>
      </c>
    </row>
    <row r="2378" spans="1:6" ht="12.75" x14ac:dyDescent="0.2">
      <c r="A2378" s="1">
        <v>99</v>
      </c>
      <c r="B2378" s="1">
        <v>1</v>
      </c>
      <c r="C2378" s="1" t="s">
        <v>5</v>
      </c>
      <c r="D2378" s="1" t="s">
        <v>6</v>
      </c>
      <c r="E2378" s="1">
        <v>0.40933966636657698</v>
      </c>
      <c r="F2378" s="1">
        <f>Tabla1[[#This Row],[tiempo]]/(IF(Tabla1[[#This Row],[tamanho]]=$I$3,$L$3,IF(Tabla1[[#This Row],[tamanho]]=$I$4,$L$4,IF(Tabla1[[#This Row],[tamanho]]=$I$5,$L$5,IF(Tabla1[[#This Row],[tamanho]]=$I$6,$L$6,0))))*IF(C2378="8_1",9,25))</f>
        <v>1.6869620990260706E-6</v>
      </c>
    </row>
    <row r="2379" spans="1:6" ht="12.75" x14ac:dyDescent="0.2">
      <c r="A2379" s="1">
        <v>99</v>
      </c>
      <c r="B2379" s="1">
        <v>1</v>
      </c>
      <c r="C2379" s="1" t="s">
        <v>7</v>
      </c>
      <c r="D2379" s="1" t="s">
        <v>6</v>
      </c>
      <c r="E2379" s="1">
        <v>0.46347093582153298</v>
      </c>
      <c r="F2379" s="1">
        <f>Tabla1[[#This Row],[tiempo]]/(IF(Tabla1[[#This Row],[tamanho]]=$I$3,$L$3,IF(Tabla1[[#This Row],[tamanho]]=$I$4,$L$4,IF(Tabla1[[#This Row],[tamanho]]=$I$5,$L$5,IF(Tabla1[[#This Row],[tamanho]]=$I$6,$L$6,0))))*IF(C2379="8_1",9,25))</f>
        <v>6.876168329387382E-7</v>
      </c>
    </row>
    <row r="2380" spans="1:6" ht="12.75" x14ac:dyDescent="0.2">
      <c r="A2380" s="1">
        <v>99</v>
      </c>
      <c r="B2380" s="1">
        <v>1</v>
      </c>
      <c r="C2380" s="1" t="s">
        <v>8</v>
      </c>
      <c r="D2380" s="1" t="s">
        <v>6</v>
      </c>
      <c r="E2380" s="1">
        <v>0.46463108062744102</v>
      </c>
      <c r="F2380" s="1">
        <f>Tabla1[[#This Row],[tiempo]]/(IF(Tabla1[[#This Row],[tamanho]]=$I$3,$L$3,IF(Tabla1[[#This Row],[tamanho]]=$I$4,$L$4,IF(Tabla1[[#This Row],[tamanho]]=$I$5,$L$5,IF(Tabla1[[#This Row],[tamanho]]=$I$6,$L$6,0))))*IF(C2380="8_1",9,25))</f>
        <v>6.8933805219011314E-7</v>
      </c>
    </row>
    <row r="2381" spans="1:6" ht="12.75" x14ac:dyDescent="0.2">
      <c r="A2381" s="1">
        <v>99</v>
      </c>
      <c r="B2381" s="1">
        <v>1</v>
      </c>
      <c r="C2381" s="1" t="s">
        <v>5</v>
      </c>
      <c r="D2381" s="1" t="s">
        <v>9</v>
      </c>
      <c r="E2381" s="1">
        <v>0.410668134689331</v>
      </c>
      <c r="F2381" s="1">
        <f>Tabla1[[#This Row],[tiempo]]/(IF(Tabla1[[#This Row],[tamanho]]=$I$3,$L$3,IF(Tabla1[[#This Row],[tamanho]]=$I$4,$L$4,IF(Tabla1[[#This Row],[tamanho]]=$I$5,$L$5,IF(Tabla1[[#This Row],[tamanho]]=$I$6,$L$6,0))))*IF(C2381="8_1",9,25))</f>
        <v>1.6924369549816031E-6</v>
      </c>
    </row>
    <row r="2382" spans="1:6" ht="12.75" x14ac:dyDescent="0.2">
      <c r="A2382" s="1">
        <v>99</v>
      </c>
      <c r="B2382" s="1">
        <v>1</v>
      </c>
      <c r="C2382" s="1" t="s">
        <v>7</v>
      </c>
      <c r="D2382" s="1" t="s">
        <v>9</v>
      </c>
      <c r="E2382" s="1">
        <v>0.460078954696655</v>
      </c>
      <c r="F2382" s="1">
        <f>Tabla1[[#This Row],[tiempo]]/(IF(Tabla1[[#This Row],[tamanho]]=$I$3,$L$3,IF(Tabla1[[#This Row],[tamanho]]=$I$4,$L$4,IF(Tabla1[[#This Row],[tamanho]]=$I$5,$L$5,IF(Tabla1[[#This Row],[tamanho]]=$I$6,$L$6,0))))*IF(C2382="8_1",9,25))</f>
        <v>6.8258440665651121E-7</v>
      </c>
    </row>
    <row r="2383" spans="1:6" ht="12.75" x14ac:dyDescent="0.2">
      <c r="A2383" s="1">
        <v>99</v>
      </c>
      <c r="B2383" s="1">
        <v>1</v>
      </c>
      <c r="C2383" s="1" t="s">
        <v>8</v>
      </c>
      <c r="D2383" s="1" t="s">
        <v>9</v>
      </c>
      <c r="E2383" s="1">
        <v>0.46347618103027299</v>
      </c>
      <c r="F2383" s="1">
        <f>Tabla1[[#This Row],[tiempo]]/(IF(Tabla1[[#This Row],[tamanho]]=$I$3,$L$3,IF(Tabla1[[#This Row],[tamanho]]=$I$4,$L$4,IF(Tabla1[[#This Row],[tamanho]]=$I$5,$L$5,IF(Tabla1[[#This Row],[tamanho]]=$I$6,$L$6,0))))*IF(C2383="8_1",9,25))</f>
        <v>6.8762461485890435E-7</v>
      </c>
    </row>
    <row r="2384" spans="1:6" ht="12.75" x14ac:dyDescent="0.2">
      <c r="A2384" s="1">
        <v>99</v>
      </c>
      <c r="B2384" s="1">
        <v>2</v>
      </c>
      <c r="C2384" s="1" t="s">
        <v>5</v>
      </c>
      <c r="D2384" s="1" t="s">
        <v>6</v>
      </c>
      <c r="E2384" s="1">
        <v>1.6816606521606401</v>
      </c>
      <c r="F2384" s="1">
        <f>Tabla1[[#This Row],[tiempo]]/(IF(Tabla1[[#This Row],[tamanho]]=$I$3,$L$3,IF(Tabla1[[#This Row],[tamanho]]=$I$4,$L$4,IF(Tabla1[[#This Row],[tamanho]]=$I$5,$L$5,IF(Tabla1[[#This Row],[tamanho]]=$I$6,$L$6,0))))*IF(C2384="8_1",9,25))</f>
        <v>1.0181405148887026E-6</v>
      </c>
    </row>
    <row r="2385" spans="1:6" ht="12.75" x14ac:dyDescent="0.2">
      <c r="A2385" s="1">
        <v>99</v>
      </c>
      <c r="B2385" s="1">
        <v>2</v>
      </c>
      <c r="C2385" s="1" t="s">
        <v>7</v>
      </c>
      <c r="D2385" s="1" t="s">
        <v>6</v>
      </c>
      <c r="E2385" s="1">
        <v>1.8987181186676001</v>
      </c>
      <c r="F2385" s="1">
        <f>Tabla1[[#This Row],[tiempo]]/(IF(Tabla1[[#This Row],[tamanho]]=$I$3,$L$3,IF(Tabla1[[#This Row],[tamanho]]=$I$4,$L$4,IF(Tabla1[[#This Row],[tamanho]]=$I$5,$L$5,IF(Tabla1[[#This Row],[tamanho]]=$I$6,$L$6,0))))*IF(C2385="8_1",9,25))</f>
        <v>4.1383989247449355E-7</v>
      </c>
    </row>
    <row r="2386" spans="1:6" ht="12.75" x14ac:dyDescent="0.2">
      <c r="A2386" s="1">
        <v>99</v>
      </c>
      <c r="B2386" s="1">
        <v>2</v>
      </c>
      <c r="C2386" s="1" t="s">
        <v>8</v>
      </c>
      <c r="D2386" s="1" t="s">
        <v>6</v>
      </c>
      <c r="E2386" s="1">
        <v>1.91407823562622</v>
      </c>
      <c r="F2386" s="1">
        <f>Tabla1[[#This Row],[tiempo]]/(IF(Tabla1[[#This Row],[tamanho]]=$I$3,$L$3,IF(Tabla1[[#This Row],[tamanho]]=$I$4,$L$4,IF(Tabla1[[#This Row],[tamanho]]=$I$5,$L$5,IF(Tabla1[[#This Row],[tamanho]]=$I$6,$L$6,0))))*IF(C2386="8_1",9,25))</f>
        <v>4.1718774547492292E-7</v>
      </c>
    </row>
    <row r="2387" spans="1:6" ht="12.75" x14ac:dyDescent="0.2">
      <c r="A2387" s="1">
        <v>99</v>
      </c>
      <c r="B2387" s="1">
        <v>2</v>
      </c>
      <c r="C2387" s="1" t="s">
        <v>5</v>
      </c>
      <c r="D2387" s="1" t="s">
        <v>9</v>
      </c>
      <c r="E2387" s="1">
        <v>1.6985664367675699</v>
      </c>
      <c r="F2387" s="1">
        <f>Tabla1[[#This Row],[tiempo]]/(IF(Tabla1[[#This Row],[tamanho]]=$I$3,$L$3,IF(Tabla1[[#This Row],[tamanho]]=$I$4,$L$4,IF(Tabla1[[#This Row],[tamanho]]=$I$5,$L$5,IF(Tabla1[[#This Row],[tamanho]]=$I$6,$L$6,0))))*IF(C2387="8_1",9,25))</f>
        <v>1.0283759117995965E-6</v>
      </c>
    </row>
    <row r="2388" spans="1:6" ht="12.75" x14ac:dyDescent="0.2">
      <c r="A2388" s="1">
        <v>99</v>
      </c>
      <c r="B2388" s="1">
        <v>2</v>
      </c>
      <c r="C2388" s="1" t="s">
        <v>7</v>
      </c>
      <c r="D2388" s="1" t="s">
        <v>9</v>
      </c>
      <c r="E2388" s="1">
        <v>1.91128158569335</v>
      </c>
      <c r="F2388" s="1">
        <f>Tabla1[[#This Row],[tiempo]]/(IF(Tabla1[[#This Row],[tamanho]]=$I$3,$L$3,IF(Tabla1[[#This Row],[tamanho]]=$I$4,$L$4,IF(Tabla1[[#This Row],[tamanho]]=$I$5,$L$5,IF(Tabla1[[#This Row],[tamanho]]=$I$6,$L$6,0))))*IF(C2388="8_1",9,25))</f>
        <v>4.1657819459102449E-7</v>
      </c>
    </row>
    <row r="2389" spans="1:6" ht="12.75" x14ac:dyDescent="0.2">
      <c r="A2389" s="1">
        <v>99</v>
      </c>
      <c r="B2389" s="1">
        <v>2</v>
      </c>
      <c r="C2389" s="1" t="s">
        <v>8</v>
      </c>
      <c r="D2389" s="1" t="s">
        <v>9</v>
      </c>
      <c r="E2389" s="1">
        <v>1.92463898658752</v>
      </c>
      <c r="F2389" s="1">
        <f>Tabla1[[#This Row],[tiempo]]/(IF(Tabla1[[#This Row],[tamanho]]=$I$3,$L$3,IF(Tabla1[[#This Row],[tamanho]]=$I$4,$L$4,IF(Tabla1[[#This Row],[tamanho]]=$I$5,$L$5,IF(Tabla1[[#This Row],[tamanho]]=$I$6,$L$6,0))))*IF(C2389="8_1",9,25))</f>
        <v>4.194895405646233E-7</v>
      </c>
    </row>
    <row r="2390" spans="1:6" ht="12.75" x14ac:dyDescent="0.2">
      <c r="A2390" s="1">
        <v>99</v>
      </c>
      <c r="B2390" s="1">
        <v>3</v>
      </c>
      <c r="C2390" s="1" t="s">
        <v>5</v>
      </c>
      <c r="D2390" s="1" t="s">
        <v>6</v>
      </c>
      <c r="E2390" s="1">
        <v>3.8670239448547301</v>
      </c>
      <c r="F2390" s="1">
        <f>Tabla1[[#This Row],[tiempo]]/(IF(Tabla1[[#This Row],[tamanho]]=$I$3,$L$3,IF(Tabla1[[#This Row],[tamanho]]=$I$4,$L$4,IF(Tabla1[[#This Row],[tamanho]]=$I$5,$L$5,IF(Tabla1[[#This Row],[tamanho]]=$I$6,$L$6,0))))*IF(C2390="8_1",9,25))</f>
        <v>1.0397246413361333E-6</v>
      </c>
    </row>
    <row r="2391" spans="1:6" ht="12.75" x14ac:dyDescent="0.2">
      <c r="A2391" s="1">
        <v>99</v>
      </c>
      <c r="B2391" s="1">
        <v>3</v>
      </c>
      <c r="C2391" s="1" t="s">
        <v>7</v>
      </c>
      <c r="D2391" s="1" t="s">
        <v>6</v>
      </c>
      <c r="E2391" s="1">
        <v>4.3437550067901602</v>
      </c>
      <c r="F2391" s="1">
        <f>Tabla1[[#This Row],[tiempo]]/(IF(Tabla1[[#This Row],[tamanho]]=$I$3,$L$3,IF(Tabla1[[#This Row],[tamanho]]=$I$4,$L$4,IF(Tabla1[[#This Row],[tamanho]]=$I$5,$L$5,IF(Tabla1[[#This Row],[tamanho]]=$I$6,$L$6,0))))*IF(C2391="8_1",9,25))</f>
        <v>4.2044510329412346E-7</v>
      </c>
    </row>
    <row r="2392" spans="1:6" ht="12.75" x14ac:dyDescent="0.2">
      <c r="A2392" s="1">
        <v>99</v>
      </c>
      <c r="B2392" s="1">
        <v>3</v>
      </c>
      <c r="C2392" s="1" t="s">
        <v>8</v>
      </c>
      <c r="D2392" s="1" t="s">
        <v>6</v>
      </c>
      <c r="E2392" s="1">
        <v>4.3370468616485596</v>
      </c>
      <c r="F2392" s="1">
        <f>Tabla1[[#This Row],[tiempo]]/(IF(Tabla1[[#This Row],[tamanho]]=$I$3,$L$3,IF(Tabla1[[#This Row],[tamanho]]=$I$4,$L$4,IF(Tabla1[[#This Row],[tamanho]]=$I$5,$L$5,IF(Tabla1[[#This Row],[tamanho]]=$I$6,$L$6,0))))*IF(C2392="8_1",9,25))</f>
        <v>4.1979580176294518E-7</v>
      </c>
    </row>
    <row r="2393" spans="1:6" ht="12.75" x14ac:dyDescent="0.2">
      <c r="A2393" s="1">
        <v>99</v>
      </c>
      <c r="B2393" s="1">
        <v>3</v>
      </c>
      <c r="C2393" s="1" t="s">
        <v>5</v>
      </c>
      <c r="D2393" s="1" t="s">
        <v>9</v>
      </c>
      <c r="E2393" s="1">
        <v>3.8624880313873202</v>
      </c>
      <c r="F2393" s="1">
        <f>Tabla1[[#This Row],[tiempo]]/(IF(Tabla1[[#This Row],[tamanho]]=$I$3,$L$3,IF(Tabla1[[#This Row],[tamanho]]=$I$4,$L$4,IF(Tabla1[[#This Row],[tamanho]]=$I$5,$L$5,IF(Tabla1[[#This Row],[tamanho]]=$I$6,$L$6,0))))*IF(C2393="8_1",9,25))</f>
        <v>1.038505072729813E-6</v>
      </c>
    </row>
    <row r="2394" spans="1:6" ht="12.75" x14ac:dyDescent="0.2">
      <c r="A2394" s="1">
        <v>99</v>
      </c>
      <c r="B2394" s="1">
        <v>3</v>
      </c>
      <c r="C2394" s="1" t="s">
        <v>7</v>
      </c>
      <c r="D2394" s="1" t="s">
        <v>9</v>
      </c>
      <c r="E2394" s="1">
        <v>4.30956959724426</v>
      </c>
      <c r="F2394" s="1">
        <f>Tabla1[[#This Row],[tiempo]]/(IF(Tabla1[[#This Row],[tamanho]]=$I$3,$L$3,IF(Tabla1[[#This Row],[tamanho]]=$I$4,$L$4,IF(Tabla1[[#This Row],[tamanho]]=$I$5,$L$5,IF(Tabla1[[#This Row],[tamanho]]=$I$6,$L$6,0))))*IF(C2394="8_1",9,25))</f>
        <v>4.1713619475181162E-7</v>
      </c>
    </row>
    <row r="2395" spans="1:6" ht="12.75" x14ac:dyDescent="0.2">
      <c r="A2395" s="1">
        <v>99</v>
      </c>
      <c r="B2395" s="1">
        <v>3</v>
      </c>
      <c r="C2395" s="1" t="s">
        <v>8</v>
      </c>
      <c r="D2395" s="1" t="s">
        <v>9</v>
      </c>
      <c r="E2395" s="1">
        <v>4.3695328235626203</v>
      </c>
      <c r="F2395" s="1">
        <f>Tabla1[[#This Row],[tiempo]]/(IF(Tabla1[[#This Row],[tamanho]]=$I$3,$L$3,IF(Tabla1[[#This Row],[tamanho]]=$I$4,$L$4,IF(Tabla1[[#This Row],[tamanho]]=$I$5,$L$5,IF(Tabla1[[#This Row],[tamanho]]=$I$6,$L$6,0))))*IF(C2395="8_1",9,25))</f>
        <v>4.2294021566087801E-7</v>
      </c>
    </row>
    <row r="2396" spans="1:6" ht="12.75" x14ac:dyDescent="0.2">
      <c r="A2396" s="1">
        <v>99</v>
      </c>
      <c r="B2396" s="1">
        <v>4</v>
      </c>
      <c r="C2396" s="1" t="s">
        <v>5</v>
      </c>
      <c r="D2396" s="1" t="s">
        <v>6</v>
      </c>
      <c r="E2396" s="1">
        <v>6.9245970249175999</v>
      </c>
      <c r="F2396" s="1">
        <f>Tabla1[[#This Row],[tiempo]]/(IF(Tabla1[[#This Row],[tamanho]]=$I$3,$L$3,IF(Tabla1[[#This Row],[tamanho]]=$I$4,$L$4,IF(Tabla1[[#This Row],[tamanho]]=$I$5,$L$5,IF(Tabla1[[#This Row],[tamanho]]=$I$6,$L$6,0))))*IF(C2396="8_1",9,25))</f>
        <v>1.0456598701490601E-6</v>
      </c>
    </row>
    <row r="2397" spans="1:6" ht="12.75" x14ac:dyDescent="0.2">
      <c r="A2397" s="1">
        <v>99</v>
      </c>
      <c r="B2397" s="1">
        <v>4</v>
      </c>
      <c r="C2397" s="1" t="s">
        <v>7</v>
      </c>
      <c r="D2397" s="1" t="s">
        <v>6</v>
      </c>
      <c r="E2397" s="1">
        <v>7.7424147129058802</v>
      </c>
      <c r="F2397" s="1">
        <f>Tabla1[[#This Row],[tiempo]]/(IF(Tabla1[[#This Row],[tamanho]]=$I$3,$L$3,IF(Tabla1[[#This Row],[tamanho]]=$I$4,$L$4,IF(Tabla1[[#This Row],[tamanho]]=$I$5,$L$5,IF(Tabla1[[#This Row],[tamanho]]=$I$6,$L$6,0))))*IF(C2397="8_1",9,25))</f>
        <v>4.2089606663228499E-7</v>
      </c>
    </row>
    <row r="2398" spans="1:6" ht="12.75" x14ac:dyDescent="0.2">
      <c r="A2398" s="1">
        <v>99</v>
      </c>
      <c r="B2398" s="1">
        <v>4</v>
      </c>
      <c r="C2398" s="1" t="s">
        <v>8</v>
      </c>
      <c r="D2398" s="1" t="s">
        <v>6</v>
      </c>
      <c r="E2398" s="1">
        <v>7.74318099021911</v>
      </c>
      <c r="F2398" s="1">
        <f>Tabla1[[#This Row],[tiempo]]/(IF(Tabla1[[#This Row],[tamanho]]=$I$3,$L$3,IF(Tabla1[[#This Row],[tamanho]]=$I$4,$L$4,IF(Tabla1[[#This Row],[tamanho]]=$I$5,$L$5,IF(Tabla1[[#This Row],[tamanho]]=$I$6,$L$6,0))))*IF(C2398="8_1",9,25))</f>
        <v>4.2093772328838614E-7</v>
      </c>
    </row>
    <row r="2399" spans="1:6" ht="12.75" x14ac:dyDescent="0.2">
      <c r="A2399" s="1">
        <v>99</v>
      </c>
      <c r="B2399" s="1">
        <v>4</v>
      </c>
      <c r="C2399" s="1" t="s">
        <v>5</v>
      </c>
      <c r="D2399" s="1" t="s">
        <v>9</v>
      </c>
      <c r="E2399" s="1">
        <v>6.9029154777526802</v>
      </c>
      <c r="F2399" s="1">
        <f>Tabla1[[#This Row],[tiempo]]/(IF(Tabla1[[#This Row],[tamanho]]=$I$3,$L$3,IF(Tabla1[[#This Row],[tamanho]]=$I$4,$L$4,IF(Tabla1[[#This Row],[tamanho]]=$I$5,$L$5,IF(Tabla1[[#This Row],[tamanho]]=$I$6,$L$6,0))))*IF(C2399="8_1",9,25))</f>
        <v>1.042385813375573E-6</v>
      </c>
    </row>
    <row r="2400" spans="1:6" ht="12.75" x14ac:dyDescent="0.2">
      <c r="A2400" s="1">
        <v>99</v>
      </c>
      <c r="B2400" s="1">
        <v>4</v>
      </c>
      <c r="C2400" s="1" t="s">
        <v>7</v>
      </c>
      <c r="D2400" s="1" t="s">
        <v>9</v>
      </c>
      <c r="E2400" s="1">
        <v>7.7274754047393799</v>
      </c>
      <c r="F2400" s="1">
        <f>Tabla1[[#This Row],[tiempo]]/(IF(Tabla1[[#This Row],[tamanho]]=$I$3,$L$3,IF(Tabla1[[#This Row],[tamanho]]=$I$4,$L$4,IF(Tabla1[[#This Row],[tamanho]]=$I$5,$L$5,IF(Tabla1[[#This Row],[tamanho]]=$I$6,$L$6,0))))*IF(C2400="8_1",9,25))</f>
        <v>4.2008393033131858E-7</v>
      </c>
    </row>
    <row r="2401" spans="1:6" ht="12.75" x14ac:dyDescent="0.2">
      <c r="A2401" s="1">
        <v>99</v>
      </c>
      <c r="B2401" s="1">
        <v>4</v>
      </c>
      <c r="C2401" s="1" t="s">
        <v>8</v>
      </c>
      <c r="D2401" s="1" t="s">
        <v>9</v>
      </c>
      <c r="E2401" s="1">
        <v>7.8134269714355398</v>
      </c>
      <c r="F2401" s="1">
        <f>Tabla1[[#This Row],[tiempo]]/(IF(Tabla1[[#This Row],[tamanho]]=$I$3,$L$3,IF(Tabla1[[#This Row],[tamanho]]=$I$4,$L$4,IF(Tabla1[[#This Row],[tamanho]]=$I$5,$L$5,IF(Tabla1[[#This Row],[tamanho]]=$I$6,$L$6,0))))*IF(C2401="8_1",9,25))</f>
        <v>4.2475646179401496E-7</v>
      </c>
    </row>
    <row r="2402" spans="1:6" ht="12.75" x14ac:dyDescent="0.2">
      <c r="A2402" s="1">
        <v>100</v>
      </c>
      <c r="B2402" s="1">
        <v>1</v>
      </c>
      <c r="C2402" s="1" t="s">
        <v>5</v>
      </c>
      <c r="D2402" s="1" t="s">
        <v>6</v>
      </c>
      <c r="E2402" s="1">
        <v>0.40555977821350098</v>
      </c>
      <c r="F2402" s="1">
        <f>Tabla1[[#This Row],[tiempo]]/(IF(Tabla1[[#This Row],[tamanho]]=$I$3,$L$3,IF(Tabla1[[#This Row],[tamanho]]=$I$4,$L$4,IF(Tabla1[[#This Row],[tamanho]]=$I$5,$L$5,IF(Tabla1[[#This Row],[tamanho]]=$I$6,$L$6,0))))*IF(C2402="8_1",9,25))</f>
        <v>1.6713845027735576E-6</v>
      </c>
    </row>
    <row r="2403" spans="1:6" ht="12.75" x14ac:dyDescent="0.2">
      <c r="A2403" s="1">
        <v>100</v>
      </c>
      <c r="B2403" s="1">
        <v>1</v>
      </c>
      <c r="C2403" s="1" t="s">
        <v>7</v>
      </c>
      <c r="D2403" s="1" t="s">
        <v>6</v>
      </c>
      <c r="E2403" s="1">
        <v>0.46121287345886203</v>
      </c>
      <c r="F2403" s="1">
        <f>Tabla1[[#This Row],[tiempo]]/(IF(Tabla1[[#This Row],[tamanho]]=$I$3,$L$3,IF(Tabla1[[#This Row],[tamanho]]=$I$4,$L$4,IF(Tabla1[[#This Row],[tamanho]]=$I$5,$L$5,IF(Tabla1[[#This Row],[tamanho]]=$I$6,$L$6,0))))*IF(C2403="8_1",9,25))</f>
        <v>6.8426671630705391E-7</v>
      </c>
    </row>
    <row r="2404" spans="1:6" ht="12.75" x14ac:dyDescent="0.2">
      <c r="A2404" s="1">
        <v>100</v>
      </c>
      <c r="B2404" s="1">
        <v>1</v>
      </c>
      <c r="C2404" s="1" t="s">
        <v>8</v>
      </c>
      <c r="D2404" s="1" t="s">
        <v>6</v>
      </c>
      <c r="E2404" s="1">
        <v>0.46505904197692799</v>
      </c>
      <c r="F2404" s="1">
        <f>Tabla1[[#This Row],[tiempo]]/(IF(Tabla1[[#This Row],[tamanho]]=$I$3,$L$3,IF(Tabla1[[#This Row],[tamanho]]=$I$4,$L$4,IF(Tabla1[[#This Row],[tamanho]]=$I$5,$L$5,IF(Tabla1[[#This Row],[tamanho]]=$I$6,$L$6,0))))*IF(C2404="8_1",9,25))</f>
        <v>6.8997298613097142E-7</v>
      </c>
    </row>
    <row r="2405" spans="1:6" ht="12.75" x14ac:dyDescent="0.2">
      <c r="A2405" s="1">
        <v>100</v>
      </c>
      <c r="B2405" s="1">
        <v>1</v>
      </c>
      <c r="C2405" s="1" t="s">
        <v>5</v>
      </c>
      <c r="D2405" s="1" t="s">
        <v>9</v>
      </c>
      <c r="E2405" s="1">
        <v>0.412506103515625</v>
      </c>
      <c r="F2405" s="1">
        <f>Tabla1[[#This Row],[tiempo]]/(IF(Tabla1[[#This Row],[tamanho]]=$I$3,$L$3,IF(Tabla1[[#This Row],[tamanho]]=$I$4,$L$4,IF(Tabla1[[#This Row],[tamanho]]=$I$5,$L$5,IF(Tabla1[[#This Row],[tamanho]]=$I$6,$L$6,0))))*IF(C2405="8_1",9,25))</f>
        <v>1.7000115537901455E-6</v>
      </c>
    </row>
    <row r="2406" spans="1:6" ht="12.75" x14ac:dyDescent="0.2">
      <c r="A2406" s="1">
        <v>100</v>
      </c>
      <c r="B2406" s="1">
        <v>1</v>
      </c>
      <c r="C2406" s="1" t="s">
        <v>7</v>
      </c>
      <c r="D2406" s="1" t="s">
        <v>9</v>
      </c>
      <c r="E2406" s="1">
        <v>0.46266889572143499</v>
      </c>
      <c r="F2406" s="1">
        <f>Tabla1[[#This Row],[tiempo]]/(IF(Tabla1[[#This Row],[tamanho]]=$I$3,$L$3,IF(Tabla1[[#This Row],[tamanho]]=$I$4,$L$4,IF(Tabla1[[#This Row],[tamanho]]=$I$5,$L$5,IF(Tabla1[[#This Row],[tamanho]]=$I$6,$L$6,0))))*IF(C2406="8_1",9,25))</f>
        <v>6.8642690660054889E-7</v>
      </c>
    </row>
    <row r="2407" spans="1:6" ht="12.75" x14ac:dyDescent="0.2">
      <c r="A2407" s="1">
        <v>100</v>
      </c>
      <c r="B2407" s="1">
        <v>1</v>
      </c>
      <c r="C2407" s="1" t="s">
        <v>8</v>
      </c>
      <c r="D2407" s="1" t="s">
        <v>9</v>
      </c>
      <c r="E2407" s="1">
        <v>0.46324872970580999</v>
      </c>
      <c r="F2407" s="1">
        <f>Tabla1[[#This Row],[tiempo]]/(IF(Tabla1[[#This Row],[tamanho]]=$I$3,$L$3,IF(Tabla1[[#This Row],[tamanho]]=$I$4,$L$4,IF(Tabla1[[#This Row],[tamanho]]=$I$5,$L$5,IF(Tabla1[[#This Row],[tamanho]]=$I$6,$L$6,0))))*IF(C2407="8_1",9,25))</f>
        <v>6.8728716250259259E-7</v>
      </c>
    </row>
    <row r="2408" spans="1:6" ht="12.75" x14ac:dyDescent="0.2">
      <c r="A2408" s="1">
        <v>100</v>
      </c>
      <c r="B2408" s="1">
        <v>2</v>
      </c>
      <c r="C2408" s="1" t="s">
        <v>5</v>
      </c>
      <c r="D2408" s="1" t="s">
        <v>6</v>
      </c>
      <c r="E2408" s="1">
        <v>1.6850013732910101</v>
      </c>
      <c r="F2408" s="1">
        <f>Tabla1[[#This Row],[tiempo]]/(IF(Tabla1[[#This Row],[tamanho]]=$I$3,$L$3,IF(Tabla1[[#This Row],[tamanho]]=$I$4,$L$4,IF(Tabla1[[#This Row],[tamanho]]=$I$5,$L$5,IF(Tabla1[[#This Row],[tamanho]]=$I$6,$L$6,0))))*IF(C2408="8_1",9,25))</f>
        <v>1.0201631129244026E-6</v>
      </c>
    </row>
    <row r="2409" spans="1:6" ht="12.75" x14ac:dyDescent="0.2">
      <c r="A2409" s="1">
        <v>100</v>
      </c>
      <c r="B2409" s="1">
        <v>2</v>
      </c>
      <c r="C2409" s="1" t="s">
        <v>7</v>
      </c>
      <c r="D2409" s="1" t="s">
        <v>6</v>
      </c>
      <c r="E2409" s="1">
        <v>1.8897676467895499</v>
      </c>
      <c r="F2409" s="1">
        <f>Tabla1[[#This Row],[tiempo]]/(IF(Tabla1[[#This Row],[tamanho]]=$I$3,$L$3,IF(Tabla1[[#This Row],[tamanho]]=$I$4,$L$4,IF(Tabla1[[#This Row],[tamanho]]=$I$5,$L$5,IF(Tabla1[[#This Row],[tamanho]]=$I$6,$L$6,0))))*IF(C2409="8_1",9,25))</f>
        <v>4.1188906982041385E-7</v>
      </c>
    </row>
    <row r="2410" spans="1:6" ht="12.75" x14ac:dyDescent="0.2">
      <c r="A2410" s="1">
        <v>100</v>
      </c>
      <c r="B2410" s="1">
        <v>2</v>
      </c>
      <c r="C2410" s="1" t="s">
        <v>8</v>
      </c>
      <c r="D2410" s="1" t="s">
        <v>6</v>
      </c>
      <c r="E2410" s="1">
        <v>1.9051156044006301</v>
      </c>
      <c r="F2410" s="1">
        <f>Tabla1[[#This Row],[tiempo]]/(IF(Tabla1[[#This Row],[tamanho]]=$I$3,$L$3,IF(Tabla1[[#This Row],[tamanho]]=$I$4,$L$4,IF(Tabla1[[#This Row],[tamanho]]=$I$5,$L$5,IF(Tabla1[[#This Row],[tamanho]]=$I$6,$L$6,0))))*IF(C2410="8_1",9,25))</f>
        <v>4.1523427259960772E-7</v>
      </c>
    </row>
    <row r="2411" spans="1:6" ht="12.75" x14ac:dyDescent="0.2">
      <c r="A2411" s="1">
        <v>100</v>
      </c>
      <c r="B2411" s="1">
        <v>2</v>
      </c>
      <c r="C2411" s="1" t="s">
        <v>5</v>
      </c>
      <c r="D2411" s="1" t="s">
        <v>9</v>
      </c>
      <c r="E2411" s="1">
        <v>1.6942605972289999</v>
      </c>
      <c r="F2411" s="1">
        <f>Tabla1[[#This Row],[tiempo]]/(IF(Tabla1[[#This Row],[tamanho]]=$I$3,$L$3,IF(Tabla1[[#This Row],[tamanho]]=$I$4,$L$4,IF(Tabla1[[#This Row],[tamanho]]=$I$5,$L$5,IF(Tabla1[[#This Row],[tamanho]]=$I$6,$L$6,0))))*IF(C2411="8_1",9,25))</f>
        <v>1.0257689948338012E-6</v>
      </c>
    </row>
    <row r="2412" spans="1:6" ht="12.75" x14ac:dyDescent="0.2">
      <c r="A2412" s="1">
        <v>100</v>
      </c>
      <c r="B2412" s="1">
        <v>2</v>
      </c>
      <c r="C2412" s="1" t="s">
        <v>7</v>
      </c>
      <c r="D2412" s="1" t="s">
        <v>9</v>
      </c>
      <c r="E2412" s="1">
        <v>1.9007105827331501</v>
      </c>
      <c r="F2412" s="1">
        <f>Tabla1[[#This Row],[tiempo]]/(IF(Tabla1[[#This Row],[tamanho]]=$I$3,$L$3,IF(Tabla1[[#This Row],[tamanho]]=$I$4,$L$4,IF(Tabla1[[#This Row],[tamanho]]=$I$5,$L$5,IF(Tabla1[[#This Row],[tamanho]]=$I$6,$L$6,0))))*IF(C2412="8_1",9,25))</f>
        <v>4.1427416500106799E-7</v>
      </c>
    </row>
    <row r="2413" spans="1:6" ht="12.75" x14ac:dyDescent="0.2">
      <c r="A2413" s="1">
        <v>100</v>
      </c>
      <c r="B2413" s="1">
        <v>2</v>
      </c>
      <c r="C2413" s="1" t="s">
        <v>8</v>
      </c>
      <c r="D2413" s="1" t="s">
        <v>9</v>
      </c>
      <c r="E2413" s="1">
        <v>1.92493915557861</v>
      </c>
      <c r="F2413" s="1">
        <f>Tabla1[[#This Row],[tiempo]]/(IF(Tabla1[[#This Row],[tamanho]]=$I$3,$L$3,IF(Tabla1[[#This Row],[tamanho]]=$I$4,$L$4,IF(Tabla1[[#This Row],[tamanho]]=$I$5,$L$5,IF(Tabla1[[#This Row],[tamanho]]=$I$6,$L$6,0))))*IF(C2413="8_1",9,25))</f>
        <v>4.1955496465352602E-7</v>
      </c>
    </row>
    <row r="2414" spans="1:6" ht="12.75" x14ac:dyDescent="0.2">
      <c r="A2414" s="1">
        <v>100</v>
      </c>
      <c r="B2414" s="1">
        <v>3</v>
      </c>
      <c r="C2414" s="1" t="s">
        <v>5</v>
      </c>
      <c r="D2414" s="1" t="s">
        <v>6</v>
      </c>
      <c r="E2414" s="1">
        <v>3.8509607315063401</v>
      </c>
      <c r="F2414" s="1">
        <f>Tabla1[[#This Row],[tiempo]]/(IF(Tabla1[[#This Row],[tamanho]]=$I$3,$L$3,IF(Tabla1[[#This Row],[tamanho]]=$I$4,$L$4,IF(Tabla1[[#This Row],[tamanho]]=$I$5,$L$5,IF(Tabla1[[#This Row],[tamanho]]=$I$6,$L$6,0))))*IF(C2414="8_1",9,25))</f>
        <v>1.035405733831156E-6</v>
      </c>
    </row>
    <row r="2415" spans="1:6" ht="12.75" x14ac:dyDescent="0.2">
      <c r="A2415" s="1">
        <v>100</v>
      </c>
      <c r="B2415" s="1">
        <v>3</v>
      </c>
      <c r="C2415" s="1" t="s">
        <v>7</v>
      </c>
      <c r="D2415" s="1" t="s">
        <v>6</v>
      </c>
      <c r="E2415" s="1">
        <v>4.3200039863586399</v>
      </c>
      <c r="F2415" s="1">
        <f>Tabla1[[#This Row],[tiempo]]/(IF(Tabla1[[#This Row],[tamanho]]=$I$3,$L$3,IF(Tabla1[[#This Row],[tamanho]]=$I$4,$L$4,IF(Tabla1[[#This Row],[tamanho]]=$I$5,$L$5,IF(Tabla1[[#This Row],[tamanho]]=$I$6,$L$6,0))))*IF(C2415="8_1",9,25))</f>
        <v>4.1814617063722611E-7</v>
      </c>
    </row>
    <row r="2416" spans="1:6" ht="12.75" x14ac:dyDescent="0.2">
      <c r="A2416" s="1">
        <v>100</v>
      </c>
      <c r="B2416" s="1">
        <v>3</v>
      </c>
      <c r="C2416" s="1" t="s">
        <v>8</v>
      </c>
      <c r="D2416" s="1" t="s">
        <v>6</v>
      </c>
      <c r="E2416" s="1">
        <v>4.3276000022888104</v>
      </c>
      <c r="F2416" s="1">
        <f>Tabla1[[#This Row],[tiempo]]/(IF(Tabla1[[#This Row],[tamanho]]=$I$3,$L$3,IF(Tabla1[[#This Row],[tamanho]]=$I$4,$L$4,IF(Tabla1[[#This Row],[tamanho]]=$I$5,$L$5,IF(Tabla1[[#This Row],[tamanho]]=$I$6,$L$6,0))))*IF(C2416="8_1",9,25))</f>
        <v>4.1888141185073653E-7</v>
      </c>
    </row>
    <row r="2417" spans="1:6" ht="12.75" x14ac:dyDescent="0.2">
      <c r="A2417" s="1">
        <v>100</v>
      </c>
      <c r="B2417" s="1">
        <v>3</v>
      </c>
      <c r="C2417" s="1" t="s">
        <v>5</v>
      </c>
      <c r="D2417" s="1" t="s">
        <v>9</v>
      </c>
      <c r="E2417" s="1">
        <v>3.85305619239807</v>
      </c>
      <c r="F2417" s="1">
        <f>Tabla1[[#This Row],[tiempo]]/(IF(Tabla1[[#This Row],[tamanho]]=$I$3,$L$3,IF(Tabla1[[#This Row],[tamanho]]=$I$4,$L$4,IF(Tabla1[[#This Row],[tamanho]]=$I$5,$L$5,IF(Tabla1[[#This Row],[tamanho]]=$I$6,$L$6,0))))*IF(C2417="8_1",9,25))</f>
        <v>1.0359691392703662E-6</v>
      </c>
    </row>
    <row r="2418" spans="1:6" ht="12.75" x14ac:dyDescent="0.2">
      <c r="A2418" s="1">
        <v>100</v>
      </c>
      <c r="B2418" s="1">
        <v>3</v>
      </c>
      <c r="C2418" s="1" t="s">
        <v>7</v>
      </c>
      <c r="D2418" s="1" t="s">
        <v>9</v>
      </c>
      <c r="E2418" s="1">
        <v>4.3342082500457701</v>
      </c>
      <c r="F2418" s="1">
        <f>Tabla1[[#This Row],[tiempo]]/(IF(Tabla1[[#This Row],[tamanho]]=$I$3,$L$3,IF(Tabla1[[#This Row],[tamanho]]=$I$4,$L$4,IF(Tabla1[[#This Row],[tamanho]]=$I$5,$L$5,IF(Tabla1[[#This Row],[tamanho]]=$I$6,$L$6,0))))*IF(C2418="8_1",9,25))</f>
        <v>4.1952104401379014E-7</v>
      </c>
    </row>
    <row r="2419" spans="1:6" ht="12.75" x14ac:dyDescent="0.2">
      <c r="A2419" s="1">
        <v>100</v>
      </c>
      <c r="B2419" s="1">
        <v>3</v>
      </c>
      <c r="C2419" s="1" t="s">
        <v>8</v>
      </c>
      <c r="D2419" s="1" t="s">
        <v>9</v>
      </c>
      <c r="E2419" s="1">
        <v>4.3594334125518799</v>
      </c>
      <c r="F2419" s="1">
        <f>Tabla1[[#This Row],[tiempo]]/(IF(Tabla1[[#This Row],[tamanho]]=$I$3,$L$3,IF(Tabla1[[#This Row],[tamanho]]=$I$4,$L$4,IF(Tabla1[[#This Row],[tamanho]]=$I$5,$L$5,IF(Tabla1[[#This Row],[tamanho]]=$I$6,$L$6,0))))*IF(C2419="8_1",9,25))</f>
        <v>4.2196266331297097E-7</v>
      </c>
    </row>
    <row r="2420" spans="1:6" ht="12.75" x14ac:dyDescent="0.2">
      <c r="A2420" s="1">
        <v>100</v>
      </c>
      <c r="B2420" s="1">
        <v>4</v>
      </c>
      <c r="C2420" s="1" t="s">
        <v>5</v>
      </c>
      <c r="D2420" s="1" t="s">
        <v>6</v>
      </c>
      <c r="E2420" s="1">
        <v>6.91220903396606</v>
      </c>
      <c r="F2420" s="1">
        <f>Tabla1[[#This Row],[tiempo]]/(IF(Tabla1[[#This Row],[tamanho]]=$I$3,$L$3,IF(Tabla1[[#This Row],[tamanho]]=$I$4,$L$4,IF(Tabla1[[#This Row],[tamanho]]=$I$5,$L$5,IF(Tabla1[[#This Row],[tamanho]]=$I$6,$L$6,0))))*IF(C2420="8_1",9,25))</f>
        <v>1.043789201724142E-6</v>
      </c>
    </row>
    <row r="2421" spans="1:6" ht="12.75" x14ac:dyDescent="0.2">
      <c r="A2421" s="1">
        <v>100</v>
      </c>
      <c r="B2421" s="1">
        <v>4</v>
      </c>
      <c r="C2421" s="1" t="s">
        <v>7</v>
      </c>
      <c r="D2421" s="1" t="s">
        <v>6</v>
      </c>
      <c r="E2421" s="1">
        <v>7.7786226272582999</v>
      </c>
      <c r="F2421" s="1">
        <f>Tabla1[[#This Row],[tiempo]]/(IF(Tabla1[[#This Row],[tamanho]]=$I$3,$L$3,IF(Tabla1[[#This Row],[tamanho]]=$I$4,$L$4,IF(Tabla1[[#This Row],[tamanho]]=$I$5,$L$5,IF(Tabla1[[#This Row],[tamanho]]=$I$6,$L$6,0))))*IF(C2421="8_1",9,25))</f>
        <v>4.2286441491857466E-7</v>
      </c>
    </row>
    <row r="2422" spans="1:6" ht="12.75" x14ac:dyDescent="0.2">
      <c r="A2422" s="1">
        <v>100</v>
      </c>
      <c r="B2422" s="1">
        <v>4</v>
      </c>
      <c r="C2422" s="1" t="s">
        <v>8</v>
      </c>
      <c r="D2422" s="1" t="s">
        <v>6</v>
      </c>
      <c r="E2422" s="1">
        <v>7.7739715576171804</v>
      </c>
      <c r="F2422" s="1">
        <f>Tabla1[[#This Row],[tiempo]]/(IF(Tabla1[[#This Row],[tamanho]]=$I$3,$L$3,IF(Tabla1[[#This Row],[tamanho]]=$I$4,$L$4,IF(Tabla1[[#This Row],[tamanho]]=$I$5,$L$5,IF(Tabla1[[#This Row],[tamanho]]=$I$6,$L$6,0))))*IF(C2422="8_1",9,25))</f>
        <v>4.2261157171782017E-7</v>
      </c>
    </row>
    <row r="2423" spans="1:6" ht="12.75" x14ac:dyDescent="0.2">
      <c r="A2423" s="1">
        <v>100</v>
      </c>
      <c r="B2423" s="1">
        <v>4</v>
      </c>
      <c r="C2423" s="1" t="s">
        <v>5</v>
      </c>
      <c r="D2423" s="1" t="s">
        <v>9</v>
      </c>
      <c r="E2423" s="1">
        <v>6.9024269580841002</v>
      </c>
      <c r="F2423" s="1">
        <f>Tabla1[[#This Row],[tiempo]]/(IF(Tabla1[[#This Row],[tamanho]]=$I$3,$L$3,IF(Tabla1[[#This Row],[tamanho]]=$I$4,$L$4,IF(Tabla1[[#This Row],[tamanho]]=$I$5,$L$5,IF(Tabla1[[#This Row],[tamanho]]=$I$6,$L$6,0))))*IF(C2423="8_1",9,25))</f>
        <v>1.0423120436801849E-6</v>
      </c>
    </row>
    <row r="2424" spans="1:6" ht="12.75" x14ac:dyDescent="0.2">
      <c r="A2424" s="1">
        <v>100</v>
      </c>
      <c r="B2424" s="1">
        <v>4</v>
      </c>
      <c r="C2424" s="1" t="s">
        <v>7</v>
      </c>
      <c r="D2424" s="1" t="s">
        <v>9</v>
      </c>
      <c r="E2424" s="1">
        <v>7.7624449729919398</v>
      </c>
      <c r="F2424" s="1">
        <f>Tabla1[[#This Row],[tiempo]]/(IF(Tabla1[[#This Row],[tamanho]]=$I$3,$L$3,IF(Tabla1[[#This Row],[tamanho]]=$I$4,$L$4,IF(Tabla1[[#This Row],[tamanho]]=$I$5,$L$5,IF(Tabla1[[#This Row],[tamanho]]=$I$6,$L$6,0))))*IF(C2424="8_1",9,25))</f>
        <v>4.219849591802121E-7</v>
      </c>
    </row>
    <row r="2425" spans="1:6" ht="12.75" x14ac:dyDescent="0.2">
      <c r="A2425" s="1">
        <v>100</v>
      </c>
      <c r="B2425" s="1">
        <v>4</v>
      </c>
      <c r="C2425" s="1" t="s">
        <v>8</v>
      </c>
      <c r="D2425" s="1" t="s">
        <v>9</v>
      </c>
      <c r="E2425" s="1">
        <v>7.8437509536743102</v>
      </c>
      <c r="F2425" s="1">
        <f>Tabla1[[#This Row],[tiempo]]/(IF(Tabla1[[#This Row],[tamanho]]=$I$3,$L$3,IF(Tabla1[[#This Row],[tamanho]]=$I$4,$L$4,IF(Tabla1[[#This Row],[tamanho]]=$I$5,$L$5,IF(Tabla1[[#This Row],[tamanho]]=$I$6,$L$6,0))))*IF(C2425="8_1",9,25))</f>
        <v>4.2640494554516957E-7</v>
      </c>
    </row>
    <row r="2426" spans="1:6" ht="12.75" x14ac:dyDescent="0.2">
      <c r="A2426" s="1">
        <v>101</v>
      </c>
      <c r="B2426" s="1">
        <v>1</v>
      </c>
      <c r="C2426" s="1" t="s">
        <v>5</v>
      </c>
      <c r="D2426" s="1" t="s">
        <v>6</v>
      </c>
      <c r="E2426" s="1">
        <v>0.412281513214111</v>
      </c>
      <c r="F2426" s="1">
        <f>Tabla1[[#This Row],[tiempo]]/(IF(Tabla1[[#This Row],[tamanho]]=$I$3,$L$3,IF(Tabla1[[#This Row],[tamanho]]=$I$4,$L$4,IF(Tabla1[[#This Row],[tamanho]]=$I$5,$L$5,IF(Tabla1[[#This Row],[tamanho]]=$I$6,$L$6,0))))*IF(C2426="8_1",9,25))</f>
        <v>1.6990859769218542E-6</v>
      </c>
    </row>
    <row r="2427" spans="1:6" ht="12.75" x14ac:dyDescent="0.2">
      <c r="A2427" s="1">
        <v>101</v>
      </c>
      <c r="B2427" s="1">
        <v>1</v>
      </c>
      <c r="C2427" s="1" t="s">
        <v>7</v>
      </c>
      <c r="D2427" s="1" t="s">
        <v>6</v>
      </c>
      <c r="E2427" s="1">
        <v>0.46312546730041498</v>
      </c>
      <c r="F2427" s="1">
        <f>Tabla1[[#This Row],[tiempo]]/(IF(Tabla1[[#This Row],[tamanho]]=$I$3,$L$3,IF(Tabla1[[#This Row],[tamanho]]=$I$4,$L$4,IF(Tabla1[[#This Row],[tamanho]]=$I$5,$L$5,IF(Tabla1[[#This Row],[tamanho]]=$I$6,$L$6,0))))*IF(C2427="8_1",9,25))</f>
        <v>6.8710428737868031E-7</v>
      </c>
    </row>
    <row r="2428" spans="1:6" ht="12.75" x14ac:dyDescent="0.2">
      <c r="A2428" s="1">
        <v>101</v>
      </c>
      <c r="B2428" s="1">
        <v>1</v>
      </c>
      <c r="C2428" s="1" t="s">
        <v>8</v>
      </c>
      <c r="D2428" s="1" t="s">
        <v>6</v>
      </c>
      <c r="E2428" s="1">
        <v>0.46422338485717701</v>
      </c>
      <c r="F2428" s="1">
        <f>Tabla1[[#This Row],[tiempo]]/(IF(Tabla1[[#This Row],[tamanho]]=$I$3,$L$3,IF(Tabla1[[#This Row],[tamanho]]=$I$4,$L$4,IF(Tabla1[[#This Row],[tamanho]]=$I$5,$L$5,IF(Tabla1[[#This Row],[tamanho]]=$I$6,$L$6,0))))*IF(C2428="8_1",9,25))</f>
        <v>6.8873318475898817E-7</v>
      </c>
    </row>
    <row r="2429" spans="1:6" ht="12.75" x14ac:dyDescent="0.2">
      <c r="A2429" s="1">
        <v>101</v>
      </c>
      <c r="B2429" s="1">
        <v>1</v>
      </c>
      <c r="C2429" s="1" t="s">
        <v>5</v>
      </c>
      <c r="D2429" s="1" t="s">
        <v>9</v>
      </c>
      <c r="E2429" s="1">
        <v>0.41328930854797302</v>
      </c>
      <c r="F2429" s="1">
        <f>Tabla1[[#This Row],[tiempo]]/(IF(Tabla1[[#This Row],[tamanho]]=$I$3,$L$3,IF(Tabla1[[#This Row],[tamanho]]=$I$4,$L$4,IF(Tabla1[[#This Row],[tamanho]]=$I$5,$L$5,IF(Tabla1[[#This Row],[tamanho]]=$I$6,$L$6,0))))*IF(C2429="8_1",9,25))</f>
        <v>1.7032392820410265E-6</v>
      </c>
    </row>
    <row r="2430" spans="1:6" ht="12.75" x14ac:dyDescent="0.2">
      <c r="A2430" s="1">
        <v>101</v>
      </c>
      <c r="B2430" s="1">
        <v>1</v>
      </c>
      <c r="C2430" s="1" t="s">
        <v>7</v>
      </c>
      <c r="D2430" s="1" t="s">
        <v>9</v>
      </c>
      <c r="E2430" s="1">
        <v>0.46415114402770902</v>
      </c>
      <c r="F2430" s="1">
        <f>Tabla1[[#This Row],[tiempo]]/(IF(Tabla1[[#This Row],[tamanho]]=$I$3,$L$3,IF(Tabla1[[#This Row],[tamanho]]=$I$4,$L$4,IF(Tabla1[[#This Row],[tamanho]]=$I$5,$L$5,IF(Tabla1[[#This Row],[tamanho]]=$I$6,$L$6,0))))*IF(C2430="8_1",9,25))</f>
        <v>6.8862600649487631E-7</v>
      </c>
    </row>
    <row r="2431" spans="1:6" ht="12.75" x14ac:dyDescent="0.2">
      <c r="A2431" s="1">
        <v>101</v>
      </c>
      <c r="B2431" s="1">
        <v>1</v>
      </c>
      <c r="C2431" s="1" t="s">
        <v>8</v>
      </c>
      <c r="D2431" s="1" t="s">
        <v>9</v>
      </c>
      <c r="E2431" s="1">
        <v>0.46943688392639099</v>
      </c>
      <c r="F2431" s="1">
        <f>Tabla1[[#This Row],[tiempo]]/(IF(Tabla1[[#This Row],[tamanho]]=$I$3,$L$3,IF(Tabla1[[#This Row],[tamanho]]=$I$4,$L$4,IF(Tabla1[[#This Row],[tamanho]]=$I$5,$L$5,IF(Tabla1[[#This Row],[tamanho]]=$I$6,$L$6,0))))*IF(C2431="8_1",9,25))</f>
        <v>6.9646805968085905E-7</v>
      </c>
    </row>
    <row r="2432" spans="1:6" ht="12.75" x14ac:dyDescent="0.2">
      <c r="A2432" s="1">
        <v>101</v>
      </c>
      <c r="B2432" s="1">
        <v>2</v>
      </c>
      <c r="C2432" s="1" t="s">
        <v>5</v>
      </c>
      <c r="D2432" s="1" t="s">
        <v>6</v>
      </c>
      <c r="E2432" s="1">
        <v>1.7024385929107599</v>
      </c>
      <c r="F2432" s="1">
        <f>Tabla1[[#This Row],[tiempo]]/(IF(Tabla1[[#This Row],[tamanho]]=$I$3,$L$3,IF(Tabla1[[#This Row],[tamanho]]=$I$4,$L$4,IF(Tabla1[[#This Row],[tamanho]]=$I$5,$L$5,IF(Tabla1[[#This Row],[tamanho]]=$I$6,$L$6,0))))*IF(C2432="8_1",9,25))</f>
        <v>1.0307202605505123E-6</v>
      </c>
    </row>
    <row r="2433" spans="1:6" ht="12.75" x14ac:dyDescent="0.2">
      <c r="A2433" s="1">
        <v>101</v>
      </c>
      <c r="B2433" s="1">
        <v>2</v>
      </c>
      <c r="C2433" s="1" t="s">
        <v>7</v>
      </c>
      <c r="D2433" s="1" t="s">
        <v>6</v>
      </c>
      <c r="E2433" s="1">
        <v>1.9201860427856401</v>
      </c>
      <c r="F2433" s="1">
        <f>Tabla1[[#This Row],[tiempo]]/(IF(Tabla1[[#This Row],[tamanho]]=$I$3,$L$3,IF(Tabla1[[#This Row],[tamanho]]=$I$4,$L$4,IF(Tabla1[[#This Row],[tamanho]]=$I$5,$L$5,IF(Tabla1[[#This Row],[tamanho]]=$I$6,$L$6,0))))*IF(C2433="8_1",9,25))</f>
        <v>4.1851898797651294E-7</v>
      </c>
    </row>
    <row r="2434" spans="1:6" ht="12.75" x14ac:dyDescent="0.2">
      <c r="A2434" s="1">
        <v>101</v>
      </c>
      <c r="B2434" s="1">
        <v>2</v>
      </c>
      <c r="C2434" s="1" t="s">
        <v>8</v>
      </c>
      <c r="D2434" s="1" t="s">
        <v>6</v>
      </c>
      <c r="E2434" s="1">
        <v>1.92176342010498</v>
      </c>
      <c r="F2434" s="1">
        <f>Tabla1[[#This Row],[tiempo]]/(IF(Tabla1[[#This Row],[tamanho]]=$I$3,$L$3,IF(Tabla1[[#This Row],[tamanho]]=$I$4,$L$4,IF(Tabla1[[#This Row],[tamanho]]=$I$5,$L$5,IF(Tabla1[[#This Row],[tamanho]]=$I$6,$L$6,0))))*IF(C2434="8_1",9,25))</f>
        <v>4.1886278922526565E-7</v>
      </c>
    </row>
    <row r="2435" spans="1:6" ht="12.75" x14ac:dyDescent="0.2">
      <c r="A2435" s="1">
        <v>101</v>
      </c>
      <c r="B2435" s="1">
        <v>2</v>
      </c>
      <c r="C2435" s="1" t="s">
        <v>5</v>
      </c>
      <c r="D2435" s="1" t="s">
        <v>9</v>
      </c>
      <c r="E2435" s="1">
        <v>1.7066617012023899</v>
      </c>
      <c r="F2435" s="1">
        <f>Tabla1[[#This Row],[tiempo]]/(IF(Tabla1[[#This Row],[tamanho]]=$I$3,$L$3,IF(Tabla1[[#This Row],[tamanho]]=$I$4,$L$4,IF(Tabla1[[#This Row],[tamanho]]=$I$5,$L$5,IF(Tabla1[[#This Row],[tamanho]]=$I$6,$L$6,0))))*IF(C2435="8_1",9,25))</f>
        <v>1.0332770889123737E-6</v>
      </c>
    </row>
    <row r="2436" spans="1:6" ht="12.75" x14ac:dyDescent="0.2">
      <c r="A2436" s="1">
        <v>101</v>
      </c>
      <c r="B2436" s="1">
        <v>2</v>
      </c>
      <c r="C2436" s="1" t="s">
        <v>7</v>
      </c>
      <c r="D2436" s="1" t="s">
        <v>9</v>
      </c>
      <c r="E2436" s="1">
        <v>1.8978185653686499</v>
      </c>
      <c r="F2436" s="1">
        <f>Tabla1[[#This Row],[tiempo]]/(IF(Tabla1[[#This Row],[tamanho]]=$I$3,$L$3,IF(Tabla1[[#This Row],[tamanho]]=$I$4,$L$4,IF(Tabla1[[#This Row],[tamanho]]=$I$5,$L$5,IF(Tabla1[[#This Row],[tamanho]]=$I$6,$L$6,0))))*IF(C2436="8_1",9,25))</f>
        <v>4.1364382806827515E-7</v>
      </c>
    </row>
    <row r="2437" spans="1:6" ht="12.75" x14ac:dyDescent="0.2">
      <c r="A2437" s="1">
        <v>101</v>
      </c>
      <c r="B2437" s="1">
        <v>2</v>
      </c>
      <c r="C2437" s="1" t="s">
        <v>8</v>
      </c>
      <c r="D2437" s="1" t="s">
        <v>9</v>
      </c>
      <c r="E2437" s="1">
        <v>1.9294946193695</v>
      </c>
      <c r="F2437" s="1">
        <f>Tabla1[[#This Row],[tiempo]]/(IF(Tabla1[[#This Row],[tamanho]]=$I$3,$L$3,IF(Tabla1[[#This Row],[tamanho]]=$I$4,$L$4,IF(Tabla1[[#This Row],[tamanho]]=$I$5,$L$5,IF(Tabla1[[#This Row],[tamanho]]=$I$6,$L$6,0))))*IF(C2437="8_1",9,25))</f>
        <v>4.2054786224419962E-7</v>
      </c>
    </row>
    <row r="2438" spans="1:6" ht="12.75" x14ac:dyDescent="0.2">
      <c r="A2438" s="1">
        <v>101</v>
      </c>
      <c r="B2438" s="1">
        <v>3</v>
      </c>
      <c r="C2438" s="1" t="s">
        <v>5</v>
      </c>
      <c r="D2438" s="1" t="s">
        <v>6</v>
      </c>
      <c r="E2438" s="1">
        <v>3.8319389820098801</v>
      </c>
      <c r="F2438" s="1">
        <f>Tabla1[[#This Row],[tiempo]]/(IF(Tabla1[[#This Row],[tamanho]]=$I$3,$L$3,IF(Tabla1[[#This Row],[tamanho]]=$I$4,$L$4,IF(Tabla1[[#This Row],[tamanho]]=$I$5,$L$5,IF(Tabla1[[#This Row],[tamanho]]=$I$6,$L$6,0))))*IF(C2438="8_1",9,25))</f>
        <v>1.0302913663085272E-6</v>
      </c>
    </row>
    <row r="2439" spans="1:6" ht="12.75" x14ac:dyDescent="0.2">
      <c r="A2439" s="1">
        <v>101</v>
      </c>
      <c r="B2439" s="1">
        <v>3</v>
      </c>
      <c r="C2439" s="1" t="s">
        <v>7</v>
      </c>
      <c r="D2439" s="1" t="s">
        <v>6</v>
      </c>
      <c r="E2439" s="1">
        <v>4.32610583305358</v>
      </c>
      <c r="F2439" s="1">
        <f>Tabla1[[#This Row],[tiempo]]/(IF(Tabla1[[#This Row],[tamanho]]=$I$3,$L$3,IF(Tabla1[[#This Row],[tamanho]]=$I$4,$L$4,IF(Tabla1[[#This Row],[tamanho]]=$I$5,$L$5,IF(Tabla1[[#This Row],[tamanho]]=$I$6,$L$6,0))))*IF(C2439="8_1",9,25))</f>
        <v>4.1873678671937819E-7</v>
      </c>
    </row>
    <row r="2440" spans="1:6" ht="12.75" x14ac:dyDescent="0.2">
      <c r="A2440" s="1">
        <v>101</v>
      </c>
      <c r="B2440" s="1">
        <v>3</v>
      </c>
      <c r="C2440" s="1" t="s">
        <v>8</v>
      </c>
      <c r="D2440" s="1" t="s">
        <v>6</v>
      </c>
      <c r="E2440" s="1">
        <v>4.31231188774108</v>
      </c>
      <c r="F2440" s="1">
        <f>Tabla1[[#This Row],[tiempo]]/(IF(Tabla1[[#This Row],[tamanho]]=$I$3,$L$3,IF(Tabla1[[#This Row],[tamanho]]=$I$4,$L$4,IF(Tabla1[[#This Row],[tamanho]]=$I$5,$L$5,IF(Tabla1[[#This Row],[tamanho]]=$I$6,$L$6,0))))*IF(C2440="8_1",9,25))</f>
        <v>4.1740162929160395E-7</v>
      </c>
    </row>
    <row r="2441" spans="1:6" ht="12.75" x14ac:dyDescent="0.2">
      <c r="A2441" s="1">
        <v>101</v>
      </c>
      <c r="B2441" s="1">
        <v>3</v>
      </c>
      <c r="C2441" s="1" t="s">
        <v>5</v>
      </c>
      <c r="D2441" s="1" t="s">
        <v>9</v>
      </c>
      <c r="E2441" s="1">
        <v>3.8474361896514799</v>
      </c>
      <c r="F2441" s="1">
        <f>Tabla1[[#This Row],[tiempo]]/(IF(Tabla1[[#This Row],[tamanho]]=$I$3,$L$3,IF(Tabla1[[#This Row],[tamanho]]=$I$4,$L$4,IF(Tabla1[[#This Row],[tamanho]]=$I$5,$L$5,IF(Tabla1[[#This Row],[tamanho]]=$I$6,$L$6,0))))*IF(C2441="8_1",9,25))</f>
        <v>1.034458092164547E-6</v>
      </c>
    </row>
    <row r="2442" spans="1:6" ht="12.75" x14ac:dyDescent="0.2">
      <c r="A2442" s="1">
        <v>101</v>
      </c>
      <c r="B2442" s="1">
        <v>3</v>
      </c>
      <c r="C2442" s="1" t="s">
        <v>7</v>
      </c>
      <c r="D2442" s="1" t="s">
        <v>9</v>
      </c>
      <c r="E2442" s="1">
        <v>4.3310301303863499</v>
      </c>
      <c r="F2442" s="1">
        <f>Tabla1[[#This Row],[tiempo]]/(IF(Tabla1[[#This Row],[tamanho]]=$I$3,$L$3,IF(Tabla1[[#This Row],[tamanho]]=$I$4,$L$4,IF(Tabla1[[#This Row],[tamanho]]=$I$5,$L$5,IF(Tabla1[[#This Row],[tamanho]]=$I$6,$L$6,0))))*IF(C2442="8_1",9,25))</f>
        <v>4.1921342425936169E-7</v>
      </c>
    </row>
    <row r="2443" spans="1:6" ht="12.75" x14ac:dyDescent="0.2">
      <c r="A2443" s="1">
        <v>101</v>
      </c>
      <c r="B2443" s="1">
        <v>3</v>
      </c>
      <c r="C2443" s="1" t="s">
        <v>8</v>
      </c>
      <c r="D2443" s="1" t="s">
        <v>9</v>
      </c>
      <c r="E2443" s="1">
        <v>4.3668222427368102</v>
      </c>
      <c r="F2443" s="1">
        <f>Tabla1[[#This Row],[tiempo]]/(IF(Tabla1[[#This Row],[tamanho]]=$I$3,$L$3,IF(Tabla1[[#This Row],[tamanho]]=$I$4,$L$4,IF(Tabla1[[#This Row],[tamanho]]=$I$5,$L$5,IF(Tabla1[[#This Row],[tamanho]]=$I$6,$L$6,0))))*IF(C2443="8_1",9,25))</f>
        <v>4.2267785039545364E-7</v>
      </c>
    </row>
    <row r="2444" spans="1:6" ht="12.75" x14ac:dyDescent="0.2">
      <c r="A2444" s="1">
        <v>101</v>
      </c>
      <c r="B2444" s="1">
        <v>4</v>
      </c>
      <c r="C2444" s="1" t="s">
        <v>5</v>
      </c>
      <c r="D2444" s="1" t="s">
        <v>6</v>
      </c>
      <c r="E2444" s="1">
        <v>6.9165852069854701</v>
      </c>
      <c r="F2444" s="1">
        <f>Tabla1[[#This Row],[tiempo]]/(IF(Tabla1[[#This Row],[tamanho]]=$I$3,$L$3,IF(Tabla1[[#This Row],[tamanho]]=$I$4,$L$4,IF(Tabla1[[#This Row],[tamanho]]=$I$5,$L$5,IF(Tabla1[[#This Row],[tamanho]]=$I$6,$L$6,0))))*IF(C2444="8_1",9,25))</f>
        <v>1.0444500327435877E-6</v>
      </c>
    </row>
    <row r="2445" spans="1:6" ht="12.75" x14ac:dyDescent="0.2">
      <c r="A2445" s="1">
        <v>101</v>
      </c>
      <c r="B2445" s="1">
        <v>4</v>
      </c>
      <c r="C2445" s="1" t="s">
        <v>7</v>
      </c>
      <c r="D2445" s="1" t="s">
        <v>6</v>
      </c>
      <c r="E2445" s="1">
        <v>7.7425410747527996</v>
      </c>
      <c r="F2445" s="1">
        <f>Tabla1[[#This Row],[tiempo]]/(IF(Tabla1[[#This Row],[tamanho]]=$I$3,$L$3,IF(Tabla1[[#This Row],[tamanho]]=$I$4,$L$4,IF(Tabla1[[#This Row],[tamanho]]=$I$5,$L$5,IF(Tabla1[[#This Row],[tamanho]]=$I$6,$L$6,0))))*IF(C2445="8_1",9,25))</f>
        <v>4.2090293596263126E-7</v>
      </c>
    </row>
    <row r="2446" spans="1:6" ht="12.75" x14ac:dyDescent="0.2">
      <c r="A2446" s="1">
        <v>101</v>
      </c>
      <c r="B2446" s="1">
        <v>4</v>
      </c>
      <c r="C2446" s="1" t="s">
        <v>8</v>
      </c>
      <c r="D2446" s="1" t="s">
        <v>6</v>
      </c>
      <c r="E2446" s="1">
        <v>7.79335618019104</v>
      </c>
      <c r="F2446" s="1">
        <f>Tabla1[[#This Row],[tiempo]]/(IF(Tabla1[[#This Row],[tamanho]]=$I$3,$L$3,IF(Tabla1[[#This Row],[tamanho]]=$I$4,$L$4,IF(Tabla1[[#This Row],[tamanho]]=$I$5,$L$5,IF(Tabla1[[#This Row],[tamanho]]=$I$6,$L$6,0))))*IF(C2446="8_1",9,25))</f>
        <v>4.2366536587597712E-7</v>
      </c>
    </row>
    <row r="2447" spans="1:6" ht="12.75" x14ac:dyDescent="0.2">
      <c r="A2447" s="1">
        <v>101</v>
      </c>
      <c r="B2447" s="1">
        <v>4</v>
      </c>
      <c r="C2447" s="1" t="s">
        <v>5</v>
      </c>
      <c r="D2447" s="1" t="s">
        <v>9</v>
      </c>
      <c r="E2447" s="1">
        <v>6.9160597324371302</v>
      </c>
      <c r="F2447" s="1">
        <f>Tabla1[[#This Row],[tiempo]]/(IF(Tabla1[[#This Row],[tamanho]]=$I$3,$L$3,IF(Tabla1[[#This Row],[tamanho]]=$I$4,$L$4,IF(Tabla1[[#This Row],[tamanho]]=$I$5,$L$5,IF(Tabla1[[#This Row],[tamanho]]=$I$6,$L$6,0))))*IF(C2447="8_1",9,25))</f>
        <v>1.0443706826173628E-6</v>
      </c>
    </row>
    <row r="2448" spans="1:6" ht="12.75" x14ac:dyDescent="0.2">
      <c r="A2448" s="1">
        <v>101</v>
      </c>
      <c r="B2448" s="1">
        <v>4</v>
      </c>
      <c r="C2448" s="1" t="s">
        <v>7</v>
      </c>
      <c r="D2448" s="1" t="s">
        <v>9</v>
      </c>
      <c r="E2448" s="1">
        <v>7.7651648521423304</v>
      </c>
      <c r="F2448" s="1">
        <f>Tabla1[[#This Row],[tiempo]]/(IF(Tabla1[[#This Row],[tamanho]]=$I$3,$L$3,IF(Tabla1[[#This Row],[tamanho]]=$I$4,$L$4,IF(Tabla1[[#This Row],[tamanho]]=$I$5,$L$5,IF(Tabla1[[#This Row],[tamanho]]=$I$6,$L$6,0))))*IF(C2448="8_1",9,25))</f>
        <v>4.2213281827567057E-7</v>
      </c>
    </row>
    <row r="2449" spans="1:6" ht="12.75" x14ac:dyDescent="0.2">
      <c r="A2449" s="1">
        <v>101</v>
      </c>
      <c r="B2449" s="1">
        <v>4</v>
      </c>
      <c r="C2449" s="1" t="s">
        <v>8</v>
      </c>
      <c r="D2449" s="1" t="s">
        <v>9</v>
      </c>
      <c r="E2449" s="1">
        <v>7.7962570190429599</v>
      </c>
      <c r="F2449" s="1">
        <f>Tabla1[[#This Row],[tiempo]]/(IF(Tabla1[[#This Row],[tamanho]]=$I$3,$L$3,IF(Tabla1[[#This Row],[tamanho]]=$I$4,$L$4,IF(Tabla1[[#This Row],[tamanho]]=$I$5,$L$5,IF(Tabla1[[#This Row],[tamanho]]=$I$6,$L$6,0))))*IF(C2449="8_1",9,25))</f>
        <v>4.2382306237093133E-7</v>
      </c>
    </row>
    <row r="2450" spans="1:6" ht="12.75" x14ac:dyDescent="0.2">
      <c r="A2450" s="1">
        <v>102</v>
      </c>
      <c r="B2450" s="1">
        <v>1</v>
      </c>
      <c r="C2450" s="1" t="s">
        <v>5</v>
      </c>
      <c r="D2450" s="1" t="s">
        <v>6</v>
      </c>
      <c r="E2450" s="1">
        <v>0.40835833549499501</v>
      </c>
      <c r="F2450" s="1">
        <f>Tabla1[[#This Row],[tiempo]]/(IF(Tabla1[[#This Row],[tamanho]]=$I$3,$L$3,IF(Tabla1[[#This Row],[tamanho]]=$I$4,$L$4,IF(Tabla1[[#This Row],[tamanho]]=$I$5,$L$5,IF(Tabla1[[#This Row],[tamanho]]=$I$6,$L$6,0))))*IF(C2450="8_1",9,25))</f>
        <v>1.6829178586971098E-6</v>
      </c>
    </row>
    <row r="2451" spans="1:6" ht="12.75" x14ac:dyDescent="0.2">
      <c r="A2451" s="1">
        <v>102</v>
      </c>
      <c r="B2451" s="1">
        <v>1</v>
      </c>
      <c r="C2451" s="1" t="s">
        <v>7</v>
      </c>
      <c r="D2451" s="1" t="s">
        <v>6</v>
      </c>
      <c r="E2451" s="1">
        <v>0.46096277236938399</v>
      </c>
      <c r="F2451" s="1">
        <f>Tabla1[[#This Row],[tiempo]]/(IF(Tabla1[[#This Row],[tamanho]]=$I$3,$L$3,IF(Tabla1[[#This Row],[tamanho]]=$I$4,$L$4,IF(Tabla1[[#This Row],[tamanho]]=$I$5,$L$5,IF(Tabla1[[#This Row],[tamanho]]=$I$6,$L$6,0))))*IF(C2451="8_1",9,25))</f>
        <v>6.8389566020456805E-7</v>
      </c>
    </row>
    <row r="2452" spans="1:6" ht="12.75" x14ac:dyDescent="0.2">
      <c r="A2452" s="1">
        <v>102</v>
      </c>
      <c r="B2452" s="1">
        <v>1</v>
      </c>
      <c r="C2452" s="1" t="s">
        <v>8</v>
      </c>
      <c r="D2452" s="1" t="s">
        <v>6</v>
      </c>
      <c r="E2452" s="1">
        <v>0.46315169334411599</v>
      </c>
      <c r="F2452" s="1">
        <f>Tabla1[[#This Row],[tiempo]]/(IF(Tabla1[[#This Row],[tamanho]]=$I$3,$L$3,IF(Tabla1[[#This Row],[tamanho]]=$I$4,$L$4,IF(Tabla1[[#This Row],[tamanho]]=$I$5,$L$5,IF(Tabla1[[#This Row],[tamanho]]=$I$6,$L$6,0))))*IF(C2452="8_1",9,25))</f>
        <v>6.8714319697951266E-7</v>
      </c>
    </row>
    <row r="2453" spans="1:6" ht="12.75" x14ac:dyDescent="0.2">
      <c r="A2453" s="1">
        <v>102</v>
      </c>
      <c r="B2453" s="1">
        <v>1</v>
      </c>
      <c r="C2453" s="1" t="s">
        <v>5</v>
      </c>
      <c r="D2453" s="1" t="s">
        <v>9</v>
      </c>
      <c r="E2453" s="1">
        <v>0.41037178039550698</v>
      </c>
      <c r="F2453" s="1">
        <f>Tabla1[[#This Row],[tiempo]]/(IF(Tabla1[[#This Row],[tamanho]]=$I$3,$L$3,IF(Tabla1[[#This Row],[tamanho]]=$I$4,$L$4,IF(Tabla1[[#This Row],[tamanho]]=$I$5,$L$5,IF(Tabla1[[#This Row],[tamanho]]=$I$6,$L$6,0))))*IF(C2453="8_1",9,25))</f>
        <v>1.6912156258443553E-6</v>
      </c>
    </row>
    <row r="2454" spans="1:6" ht="12.75" x14ac:dyDescent="0.2">
      <c r="A2454" s="1">
        <v>102</v>
      </c>
      <c r="B2454" s="1">
        <v>1</v>
      </c>
      <c r="C2454" s="1" t="s">
        <v>7</v>
      </c>
      <c r="D2454" s="1" t="s">
        <v>9</v>
      </c>
      <c r="E2454" s="1">
        <v>0.46051120758056602</v>
      </c>
      <c r="F2454" s="1">
        <f>Tabla1[[#This Row],[tiempo]]/(IF(Tabla1[[#This Row],[tamanho]]=$I$3,$L$3,IF(Tabla1[[#This Row],[tamanho]]=$I$4,$L$4,IF(Tabla1[[#This Row],[tamanho]]=$I$5,$L$5,IF(Tabla1[[#This Row],[tamanho]]=$I$6,$L$6,0))))*IF(C2454="8_1",9,25))</f>
        <v>6.832257076229606E-7</v>
      </c>
    </row>
    <row r="2455" spans="1:6" ht="12.75" x14ac:dyDescent="0.2">
      <c r="A2455" s="1">
        <v>102</v>
      </c>
      <c r="B2455" s="1">
        <v>1</v>
      </c>
      <c r="C2455" s="1" t="s">
        <v>8</v>
      </c>
      <c r="D2455" s="1" t="s">
        <v>9</v>
      </c>
      <c r="E2455" s="1">
        <v>0.46967482566833402</v>
      </c>
      <c r="F2455" s="1">
        <f>Tabla1[[#This Row],[tiempo]]/(IF(Tabla1[[#This Row],[tamanho]]=$I$3,$L$3,IF(Tabla1[[#This Row],[tamanho]]=$I$4,$L$4,IF(Tabla1[[#This Row],[tamanho]]=$I$5,$L$5,IF(Tabla1[[#This Row],[tamanho]]=$I$6,$L$6,0))))*IF(C2455="8_1",9,25))</f>
        <v>6.968210758775031E-7</v>
      </c>
    </row>
    <row r="2456" spans="1:6" ht="12.75" x14ac:dyDescent="0.2">
      <c r="A2456" s="1">
        <v>102</v>
      </c>
      <c r="B2456" s="1">
        <v>2</v>
      </c>
      <c r="C2456" s="1" t="s">
        <v>5</v>
      </c>
      <c r="D2456" s="1" t="s">
        <v>6</v>
      </c>
      <c r="E2456" s="1">
        <v>1.68978095054626</v>
      </c>
      <c r="F2456" s="1">
        <f>Tabla1[[#This Row],[tiempo]]/(IF(Tabla1[[#This Row],[tamanho]]=$I$3,$L$3,IF(Tabla1[[#This Row],[tamanho]]=$I$4,$L$4,IF(Tabla1[[#This Row],[tamanho]]=$I$5,$L$5,IF(Tabla1[[#This Row],[tamanho]]=$I$6,$L$6,0))))*IF(C2456="8_1",9,25))</f>
        <v>1.0230568484954634E-6</v>
      </c>
    </row>
    <row r="2457" spans="1:6" ht="12.75" x14ac:dyDescent="0.2">
      <c r="A2457" s="1">
        <v>102</v>
      </c>
      <c r="B2457" s="1">
        <v>2</v>
      </c>
      <c r="C2457" s="1" t="s">
        <v>7</v>
      </c>
      <c r="D2457" s="1" t="s">
        <v>6</v>
      </c>
      <c r="E2457" s="1">
        <v>1.9136588573455799</v>
      </c>
      <c r="F2457" s="1">
        <f>Tabla1[[#This Row],[tiempo]]/(IF(Tabla1[[#This Row],[tamanho]]=$I$3,$L$3,IF(Tabla1[[#This Row],[tamanho]]=$I$4,$L$4,IF(Tabla1[[#This Row],[tamanho]]=$I$5,$L$5,IF(Tabla1[[#This Row],[tamanho]]=$I$6,$L$6,0))))*IF(C2457="8_1",9,25))</f>
        <v>4.1709633882489945E-7</v>
      </c>
    </row>
    <row r="2458" spans="1:6" ht="12.75" x14ac:dyDescent="0.2">
      <c r="A2458" s="1">
        <v>102</v>
      </c>
      <c r="B2458" s="1">
        <v>2</v>
      </c>
      <c r="C2458" s="1" t="s">
        <v>8</v>
      </c>
      <c r="D2458" s="1" t="s">
        <v>6</v>
      </c>
      <c r="E2458" s="1">
        <v>1.9067420959472601</v>
      </c>
      <c r="F2458" s="1">
        <f>Tabla1[[#This Row],[tiempo]]/(IF(Tabla1[[#This Row],[tamanho]]=$I$3,$L$3,IF(Tabla1[[#This Row],[tamanho]]=$I$4,$L$4,IF(Tabla1[[#This Row],[tamanho]]=$I$5,$L$5,IF(Tabla1[[#This Row],[tamanho]]=$I$6,$L$6,0))))*IF(C2458="8_1",9,25))</f>
        <v>4.155887786635412E-7</v>
      </c>
    </row>
    <row r="2459" spans="1:6" ht="12.75" x14ac:dyDescent="0.2">
      <c r="A2459" s="1">
        <v>102</v>
      </c>
      <c r="B2459" s="1">
        <v>2</v>
      </c>
      <c r="C2459" s="1" t="s">
        <v>5</v>
      </c>
      <c r="D2459" s="1" t="s">
        <v>9</v>
      </c>
      <c r="E2459" s="1">
        <v>1.7014856338500901</v>
      </c>
      <c r="F2459" s="1">
        <f>Tabla1[[#This Row],[tiempo]]/(IF(Tabla1[[#This Row],[tamanho]]=$I$3,$L$3,IF(Tabla1[[#This Row],[tamanho]]=$I$4,$L$4,IF(Tabla1[[#This Row],[tamanho]]=$I$5,$L$5,IF(Tabla1[[#This Row],[tamanho]]=$I$6,$L$6,0))))*IF(C2459="8_1",9,25))</f>
        <v>1.0301433033460658E-6</v>
      </c>
    </row>
    <row r="2460" spans="1:6" ht="12.75" x14ac:dyDescent="0.2">
      <c r="A2460" s="1">
        <v>102</v>
      </c>
      <c r="B2460" s="1">
        <v>2</v>
      </c>
      <c r="C2460" s="1" t="s">
        <v>7</v>
      </c>
      <c r="D2460" s="1" t="s">
        <v>9</v>
      </c>
      <c r="E2460" s="1">
        <v>1.89899826049804</v>
      </c>
      <c r="F2460" s="1">
        <f>Tabla1[[#This Row],[tiempo]]/(IF(Tabla1[[#This Row],[tamanho]]=$I$3,$L$3,IF(Tabla1[[#This Row],[tamanho]]=$I$4,$L$4,IF(Tabla1[[#This Row],[tamanho]]=$I$5,$L$5,IF(Tabla1[[#This Row],[tamanho]]=$I$6,$L$6,0))))*IF(C2460="8_1",9,25))</f>
        <v>4.1390095149312673E-7</v>
      </c>
    </row>
    <row r="2461" spans="1:6" ht="12.75" x14ac:dyDescent="0.2">
      <c r="A2461" s="1">
        <v>102</v>
      </c>
      <c r="B2461" s="1">
        <v>2</v>
      </c>
      <c r="C2461" s="1" t="s">
        <v>8</v>
      </c>
      <c r="D2461" s="1" t="s">
        <v>9</v>
      </c>
      <c r="E2461" s="1">
        <v>1.9150154590606601</v>
      </c>
      <c r="F2461" s="1">
        <f>Tabla1[[#This Row],[tiempo]]/(IF(Tabla1[[#This Row],[tamanho]]=$I$3,$L$3,IF(Tabla1[[#This Row],[tamanho]]=$I$4,$L$4,IF(Tabla1[[#This Row],[tamanho]]=$I$5,$L$5,IF(Tabla1[[#This Row],[tamanho]]=$I$6,$L$6,0))))*IF(C2461="8_1",9,25))</f>
        <v>4.173920203704537E-7</v>
      </c>
    </row>
    <row r="2462" spans="1:6" ht="12.75" x14ac:dyDescent="0.2">
      <c r="A2462" s="1">
        <v>102</v>
      </c>
      <c r="B2462" s="1">
        <v>3</v>
      </c>
      <c r="C2462" s="1" t="s">
        <v>5</v>
      </c>
      <c r="D2462" s="1" t="s">
        <v>6</v>
      </c>
      <c r="E2462" s="1">
        <v>3.83547043800354</v>
      </c>
      <c r="F2462" s="1">
        <f>Tabla1[[#This Row],[tiempo]]/(IF(Tabla1[[#This Row],[tamanho]]=$I$3,$L$3,IF(Tabla1[[#This Row],[tamanho]]=$I$4,$L$4,IF(Tabla1[[#This Row],[tamanho]]=$I$5,$L$5,IF(Tabla1[[#This Row],[tamanho]]=$I$6,$L$6,0))))*IF(C2462="8_1",9,25))</f>
        <v>1.0312408669759041E-6</v>
      </c>
    </row>
    <row r="2463" spans="1:6" ht="12.75" x14ac:dyDescent="0.2">
      <c r="A2463" s="1">
        <v>102</v>
      </c>
      <c r="B2463" s="1">
        <v>3</v>
      </c>
      <c r="C2463" s="1" t="s">
        <v>7</v>
      </c>
      <c r="D2463" s="1" t="s">
        <v>6</v>
      </c>
      <c r="E2463" s="1">
        <v>4.3073987960815403</v>
      </c>
      <c r="F2463" s="1">
        <f>Tabla1[[#This Row],[tiempo]]/(IF(Tabla1[[#This Row],[tamanho]]=$I$3,$L$3,IF(Tabla1[[#This Row],[tamanho]]=$I$4,$L$4,IF(Tabla1[[#This Row],[tamanho]]=$I$5,$L$5,IF(Tabla1[[#This Row],[tamanho]]=$I$6,$L$6,0))))*IF(C2463="8_1",9,25))</f>
        <v>4.1692607638241369E-7</v>
      </c>
    </row>
    <row r="2464" spans="1:6" ht="12.75" x14ac:dyDescent="0.2">
      <c r="A2464" s="1">
        <v>102</v>
      </c>
      <c r="B2464" s="1">
        <v>3</v>
      </c>
      <c r="C2464" s="1" t="s">
        <v>8</v>
      </c>
      <c r="D2464" s="1" t="s">
        <v>6</v>
      </c>
      <c r="E2464" s="1">
        <v>4.3299617767333904</v>
      </c>
      <c r="F2464" s="1">
        <f>Tabla1[[#This Row],[tiempo]]/(IF(Tabla1[[#This Row],[tamanho]]=$I$3,$L$3,IF(Tabla1[[#This Row],[tamanho]]=$I$4,$L$4,IF(Tabla1[[#This Row],[tamanho]]=$I$5,$L$5,IF(Tabla1[[#This Row],[tamanho]]=$I$6,$L$6,0))))*IF(C2464="8_1",9,25))</f>
        <v>4.1911001509810119E-7</v>
      </c>
    </row>
    <row r="2465" spans="1:6" ht="12.75" x14ac:dyDescent="0.2">
      <c r="A2465" s="1">
        <v>102</v>
      </c>
      <c r="B2465" s="1">
        <v>3</v>
      </c>
      <c r="C2465" s="1" t="s">
        <v>5</v>
      </c>
      <c r="D2465" s="1" t="s">
        <v>9</v>
      </c>
      <c r="E2465" s="1">
        <v>3.8787326812744101</v>
      </c>
      <c r="F2465" s="1">
        <f>Tabla1[[#This Row],[tiempo]]/(IF(Tabla1[[#This Row],[tamanho]]=$I$3,$L$3,IF(Tabla1[[#This Row],[tamanho]]=$I$4,$L$4,IF(Tabla1[[#This Row],[tamanho]]=$I$5,$L$5,IF(Tabla1[[#This Row],[tamanho]]=$I$6,$L$6,0))))*IF(C2465="8_1",9,25))</f>
        <v>1.042872762979044E-6</v>
      </c>
    </row>
    <row r="2466" spans="1:6" ht="12.75" x14ac:dyDescent="0.2">
      <c r="A2466" s="1">
        <v>102</v>
      </c>
      <c r="B2466" s="1">
        <v>3</v>
      </c>
      <c r="C2466" s="1" t="s">
        <v>7</v>
      </c>
      <c r="D2466" s="1" t="s">
        <v>9</v>
      </c>
      <c r="E2466" s="1">
        <v>4.3142902851104701</v>
      </c>
      <c r="F2466" s="1">
        <f>Tabla1[[#This Row],[tiempo]]/(IF(Tabla1[[#This Row],[tamanho]]=$I$3,$L$3,IF(Tabla1[[#This Row],[tamanho]]=$I$4,$L$4,IF(Tabla1[[#This Row],[tamanho]]=$I$5,$L$5,IF(Tabla1[[#This Row],[tamanho]]=$I$6,$L$6,0))))*IF(C2466="8_1",9,25))</f>
        <v>4.1759312431953018E-7</v>
      </c>
    </row>
    <row r="2467" spans="1:6" ht="12.75" x14ac:dyDescent="0.2">
      <c r="A2467" s="1">
        <v>102</v>
      </c>
      <c r="B2467" s="1">
        <v>3</v>
      </c>
      <c r="C2467" s="1" t="s">
        <v>8</v>
      </c>
      <c r="D2467" s="1" t="s">
        <v>9</v>
      </c>
      <c r="E2467" s="1">
        <v>4.3734316825866699</v>
      </c>
      <c r="F2467" s="1">
        <f>Tabla1[[#This Row],[tiempo]]/(IF(Tabla1[[#This Row],[tamanho]]=$I$3,$L$3,IF(Tabla1[[#This Row],[tamanho]]=$I$4,$L$4,IF(Tabla1[[#This Row],[tamanho]]=$I$5,$L$5,IF(Tabla1[[#This Row],[tamanho]]=$I$6,$L$6,0))))*IF(C2467="8_1",9,25))</f>
        <v>4.2331759794476215E-7</v>
      </c>
    </row>
    <row r="2468" spans="1:6" ht="12.75" x14ac:dyDescent="0.2">
      <c r="A2468" s="1">
        <v>102</v>
      </c>
      <c r="B2468" s="1">
        <v>4</v>
      </c>
      <c r="C2468" s="1" t="s">
        <v>5</v>
      </c>
      <c r="D2468" s="1" t="s">
        <v>6</v>
      </c>
      <c r="E2468" s="1">
        <v>6.9153618812561</v>
      </c>
      <c r="F2468" s="1">
        <f>Tabla1[[#This Row],[tiempo]]/(IF(Tabla1[[#This Row],[tamanho]]=$I$3,$L$3,IF(Tabla1[[#This Row],[tamanho]]=$I$4,$L$4,IF(Tabla1[[#This Row],[tamanho]]=$I$5,$L$5,IF(Tabla1[[#This Row],[tamanho]]=$I$6,$L$6,0))))*IF(C2468="8_1",9,25))</f>
        <v>1.0442653024814915E-6</v>
      </c>
    </row>
    <row r="2469" spans="1:6" ht="12.75" x14ac:dyDescent="0.2">
      <c r="A2469" s="1">
        <v>102</v>
      </c>
      <c r="B2469" s="1">
        <v>4</v>
      </c>
      <c r="C2469" s="1" t="s">
        <v>7</v>
      </c>
      <c r="D2469" s="1" t="s">
        <v>6</v>
      </c>
      <c r="E2469" s="1">
        <v>7.7183752059936497</v>
      </c>
      <c r="F2469" s="1">
        <f>Tabla1[[#This Row],[tiempo]]/(IF(Tabla1[[#This Row],[tamanho]]=$I$3,$L$3,IF(Tabla1[[#This Row],[tamanho]]=$I$4,$L$4,IF(Tabla1[[#This Row],[tamanho]]=$I$5,$L$5,IF(Tabla1[[#This Row],[tamanho]]=$I$6,$L$6,0))))*IF(C2469="8_1",9,25))</f>
        <v>4.195892218973638E-7</v>
      </c>
    </row>
    <row r="2470" spans="1:6" ht="12.75" x14ac:dyDescent="0.2">
      <c r="A2470" s="1">
        <v>102</v>
      </c>
      <c r="B2470" s="1">
        <v>4</v>
      </c>
      <c r="C2470" s="1" t="s">
        <v>8</v>
      </c>
      <c r="D2470" s="1" t="s">
        <v>6</v>
      </c>
      <c r="E2470" s="1">
        <v>7.7597486972808802</v>
      </c>
      <c r="F2470" s="1">
        <f>Tabla1[[#This Row],[tiempo]]/(IF(Tabla1[[#This Row],[tamanho]]=$I$3,$L$3,IF(Tabla1[[#This Row],[tamanho]]=$I$4,$L$4,IF(Tabla1[[#This Row],[tamanho]]=$I$5,$L$5,IF(Tabla1[[#This Row],[tamanho]]=$I$6,$L$6,0))))*IF(C2470="8_1",9,25))</f>
        <v>4.2183838322381833E-7</v>
      </c>
    </row>
    <row r="2471" spans="1:6" ht="12.75" x14ac:dyDescent="0.2">
      <c r="A2471" s="1">
        <v>102</v>
      </c>
      <c r="B2471" s="1">
        <v>4</v>
      </c>
      <c r="C2471" s="1" t="s">
        <v>5</v>
      </c>
      <c r="D2471" s="1" t="s">
        <v>9</v>
      </c>
      <c r="E2471" s="1">
        <v>6.9007992744445801</v>
      </c>
      <c r="F2471" s="1">
        <f>Tabla1[[#This Row],[tiempo]]/(IF(Tabla1[[#This Row],[tamanho]]=$I$3,$L$3,IF(Tabla1[[#This Row],[tamanho]]=$I$4,$L$4,IF(Tabla1[[#This Row],[tamanho]]=$I$5,$L$5,IF(Tabla1[[#This Row],[tamanho]]=$I$6,$L$6,0))))*IF(C2471="8_1",9,25))</f>
        <v>1.0420662527038985E-6</v>
      </c>
    </row>
    <row r="2472" spans="1:6" ht="12.75" x14ac:dyDescent="0.2">
      <c r="A2472" s="1">
        <v>102</v>
      </c>
      <c r="B2472" s="1">
        <v>4</v>
      </c>
      <c r="C2472" s="1" t="s">
        <v>7</v>
      </c>
      <c r="D2472" s="1" t="s">
        <v>9</v>
      </c>
      <c r="E2472" s="1">
        <v>7.7469816207885698</v>
      </c>
      <c r="F2472" s="1">
        <f>Tabla1[[#This Row],[tiempo]]/(IF(Tabla1[[#This Row],[tamanho]]=$I$3,$L$3,IF(Tabla1[[#This Row],[tamanho]]=$I$4,$L$4,IF(Tabla1[[#This Row],[tamanho]]=$I$5,$L$5,IF(Tabla1[[#This Row],[tamanho]]=$I$6,$L$6,0))))*IF(C2472="8_1",9,25))</f>
        <v>4.2114433459980835E-7</v>
      </c>
    </row>
    <row r="2473" spans="1:6" ht="12.75" x14ac:dyDescent="0.2">
      <c r="A2473" s="1">
        <v>102</v>
      </c>
      <c r="B2473" s="1">
        <v>4</v>
      </c>
      <c r="C2473" s="1" t="s">
        <v>8</v>
      </c>
      <c r="D2473" s="1" t="s">
        <v>9</v>
      </c>
      <c r="E2473" s="1">
        <v>7.8456728458404497</v>
      </c>
      <c r="F2473" s="1">
        <f>Tabla1[[#This Row],[tiempo]]/(IF(Tabla1[[#This Row],[tamanho]]=$I$3,$L$3,IF(Tabla1[[#This Row],[tamanho]]=$I$4,$L$4,IF(Tabla1[[#This Row],[tamanho]]=$I$5,$L$5,IF(Tabla1[[#This Row],[tamanho]]=$I$6,$L$6,0))))*IF(C2473="8_1",9,25))</f>
        <v>4.2650942417143989E-7</v>
      </c>
    </row>
    <row r="2474" spans="1:6" ht="12.75" x14ac:dyDescent="0.2">
      <c r="A2474" s="1">
        <v>103</v>
      </c>
      <c r="B2474" s="1">
        <v>1</v>
      </c>
      <c r="C2474" s="1" t="s">
        <v>5</v>
      </c>
      <c r="D2474" s="1" t="s">
        <v>6</v>
      </c>
      <c r="E2474" s="1">
        <v>0.40791058540344199</v>
      </c>
      <c r="F2474" s="1">
        <f>Tabla1[[#This Row],[tiempo]]/(IF(Tabla1[[#This Row],[tamanho]]=$I$3,$L$3,IF(Tabla1[[#This Row],[tamanho]]=$I$4,$L$4,IF(Tabla1[[#This Row],[tamanho]]=$I$5,$L$5,IF(Tabla1[[#This Row],[tamanho]]=$I$6,$L$6,0))))*IF(C2474="8_1",9,25))</f>
        <v>1.6810726003545945E-6</v>
      </c>
    </row>
    <row r="2475" spans="1:6" ht="12.75" x14ac:dyDescent="0.2">
      <c r="A2475" s="1">
        <v>103</v>
      </c>
      <c r="B2475" s="1">
        <v>1</v>
      </c>
      <c r="C2475" s="1" t="s">
        <v>7</v>
      </c>
      <c r="D2475" s="1" t="s">
        <v>6</v>
      </c>
      <c r="E2475" s="1">
        <v>0.45919489860534601</v>
      </c>
      <c r="F2475" s="1">
        <f>Tabla1[[#This Row],[tiempo]]/(IF(Tabla1[[#This Row],[tamanho]]=$I$3,$L$3,IF(Tabla1[[#This Row],[tamanho]]=$I$4,$L$4,IF(Tabla1[[#This Row],[tamanho]]=$I$5,$L$5,IF(Tabla1[[#This Row],[tamanho]]=$I$6,$L$6,0))))*IF(C2475="8_1",9,25))</f>
        <v>6.8127279938480924E-7</v>
      </c>
    </row>
    <row r="2476" spans="1:6" ht="12.75" x14ac:dyDescent="0.2">
      <c r="A2476" s="1">
        <v>103</v>
      </c>
      <c r="B2476" s="1">
        <v>1</v>
      </c>
      <c r="C2476" s="1" t="s">
        <v>8</v>
      </c>
      <c r="D2476" s="1" t="s">
        <v>6</v>
      </c>
      <c r="E2476" s="1">
        <v>0.46716237068176197</v>
      </c>
      <c r="F2476" s="1">
        <f>Tabla1[[#This Row],[tiempo]]/(IF(Tabla1[[#This Row],[tamanho]]=$I$3,$L$3,IF(Tabla1[[#This Row],[tamanho]]=$I$4,$L$4,IF(Tabla1[[#This Row],[tamanho]]=$I$5,$L$5,IF(Tabla1[[#This Row],[tamanho]]=$I$6,$L$6,0))))*IF(C2476="8_1",9,25))</f>
        <v>6.9309353611774333E-7</v>
      </c>
    </row>
    <row r="2477" spans="1:6" ht="12.75" x14ac:dyDescent="0.2">
      <c r="A2477" s="1">
        <v>103</v>
      </c>
      <c r="B2477" s="1">
        <v>1</v>
      </c>
      <c r="C2477" s="1" t="s">
        <v>5</v>
      </c>
      <c r="D2477" s="1" t="s">
        <v>9</v>
      </c>
      <c r="E2477" s="1">
        <v>0.408755302429199</v>
      </c>
      <c r="F2477" s="1">
        <f>Tabla1[[#This Row],[tiempo]]/(IF(Tabla1[[#This Row],[tamanho]]=$I$3,$L$3,IF(Tabla1[[#This Row],[tamanho]]=$I$4,$L$4,IF(Tabla1[[#This Row],[tamanho]]=$I$5,$L$5,IF(Tabla1[[#This Row],[tamanho]]=$I$6,$L$6,0))))*IF(C2477="8_1",9,25))</f>
        <v>1.6845538305502969E-6</v>
      </c>
    </row>
    <row r="2478" spans="1:6" ht="12.75" x14ac:dyDescent="0.2">
      <c r="A2478" s="1">
        <v>103</v>
      </c>
      <c r="B2478" s="1">
        <v>1</v>
      </c>
      <c r="C2478" s="1" t="s">
        <v>7</v>
      </c>
      <c r="D2478" s="1" t="s">
        <v>9</v>
      </c>
      <c r="E2478" s="1">
        <v>0.461314916610717</v>
      </c>
      <c r="F2478" s="1">
        <f>Tabla1[[#This Row],[tiempo]]/(IF(Tabla1[[#This Row],[tamanho]]=$I$3,$L$3,IF(Tabla1[[#This Row],[tamanho]]=$I$4,$L$4,IF(Tabla1[[#This Row],[tamanho]]=$I$5,$L$5,IF(Tabla1[[#This Row],[tamanho]]=$I$6,$L$6,0))))*IF(C2478="8_1",9,25))</f>
        <v>6.8441811002665624E-7</v>
      </c>
    </row>
    <row r="2479" spans="1:6" ht="12.75" x14ac:dyDescent="0.2">
      <c r="A2479" s="1">
        <v>103</v>
      </c>
      <c r="B2479" s="1">
        <v>1</v>
      </c>
      <c r="C2479" s="1" t="s">
        <v>8</v>
      </c>
      <c r="D2479" s="1" t="s">
        <v>9</v>
      </c>
      <c r="E2479" s="1">
        <v>0.468110561370849</v>
      </c>
      <c r="F2479" s="1">
        <f>Tabla1[[#This Row],[tiempo]]/(IF(Tabla1[[#This Row],[tamanho]]=$I$3,$L$3,IF(Tabla1[[#This Row],[tamanho]]=$I$4,$L$4,IF(Tabla1[[#This Row],[tamanho]]=$I$5,$L$5,IF(Tabla1[[#This Row],[tamanho]]=$I$6,$L$6,0))))*IF(C2479="8_1",9,25))</f>
        <v>6.945002950496628E-7</v>
      </c>
    </row>
    <row r="2480" spans="1:6" ht="12.75" x14ac:dyDescent="0.2">
      <c r="A2480" s="1">
        <v>103</v>
      </c>
      <c r="B2480" s="1">
        <v>2</v>
      </c>
      <c r="C2480" s="1" t="s">
        <v>5</v>
      </c>
      <c r="D2480" s="1" t="s">
        <v>6</v>
      </c>
      <c r="E2480" s="1">
        <v>1.69910883903503</v>
      </c>
      <c r="F2480" s="1">
        <f>Tabla1[[#This Row],[tiempo]]/(IF(Tabla1[[#This Row],[tamanho]]=$I$3,$L$3,IF(Tabla1[[#This Row],[tamanho]]=$I$4,$L$4,IF(Tabla1[[#This Row],[tamanho]]=$I$5,$L$5,IF(Tabla1[[#This Row],[tamanho]]=$I$6,$L$6,0))))*IF(C2480="8_1",9,25))</f>
        <v>1.0287043025026549E-6</v>
      </c>
    </row>
    <row r="2481" spans="1:6" ht="12.75" x14ac:dyDescent="0.2">
      <c r="A2481" s="1">
        <v>103</v>
      </c>
      <c r="B2481" s="1">
        <v>2</v>
      </c>
      <c r="C2481" s="1" t="s">
        <v>7</v>
      </c>
      <c r="D2481" s="1" t="s">
        <v>6</v>
      </c>
      <c r="E2481" s="1">
        <v>1.9109241962432799</v>
      </c>
      <c r="F2481" s="1">
        <f>Tabla1[[#This Row],[tiempo]]/(IF(Tabla1[[#This Row],[tamanho]]=$I$3,$L$3,IF(Tabla1[[#This Row],[tamanho]]=$I$4,$L$4,IF(Tabla1[[#This Row],[tamanho]]=$I$5,$L$5,IF(Tabla1[[#This Row],[tamanho]]=$I$6,$L$6,0))))*IF(C2481="8_1",9,25))</f>
        <v>4.1650029887278473E-7</v>
      </c>
    </row>
    <row r="2482" spans="1:6" ht="12.75" x14ac:dyDescent="0.2">
      <c r="A2482" s="1">
        <v>103</v>
      </c>
      <c r="B2482" s="1">
        <v>2</v>
      </c>
      <c r="C2482" s="1" t="s">
        <v>8</v>
      </c>
      <c r="D2482" s="1" t="s">
        <v>6</v>
      </c>
      <c r="E2482" s="1">
        <v>1.9306621551513601</v>
      </c>
      <c r="F2482" s="1">
        <f>Tabla1[[#This Row],[tiempo]]/(IF(Tabla1[[#This Row],[tamanho]]=$I$3,$L$3,IF(Tabla1[[#This Row],[tamanho]]=$I$4,$L$4,IF(Tabla1[[#This Row],[tamanho]]=$I$5,$L$5,IF(Tabla1[[#This Row],[tamanho]]=$I$6,$L$6,0))))*IF(C2482="8_1",9,25))</f>
        <v>4.208023354478177E-7</v>
      </c>
    </row>
    <row r="2483" spans="1:6" ht="12.75" x14ac:dyDescent="0.2">
      <c r="A2483" s="1">
        <v>103</v>
      </c>
      <c r="B2483" s="1">
        <v>2</v>
      </c>
      <c r="C2483" s="1" t="s">
        <v>5</v>
      </c>
      <c r="D2483" s="1" t="s">
        <v>9</v>
      </c>
      <c r="E2483" s="1">
        <v>1.7137496471405</v>
      </c>
      <c r="F2483" s="1">
        <f>Tabla1[[#This Row],[tiempo]]/(IF(Tabla1[[#This Row],[tamanho]]=$I$3,$L$3,IF(Tabla1[[#This Row],[tamanho]]=$I$4,$L$4,IF(Tabla1[[#This Row],[tamanho]]=$I$5,$L$5,IF(Tabla1[[#This Row],[tamanho]]=$I$6,$L$6,0))))*IF(C2483="8_1",9,25))</f>
        <v>1.0375683975766152E-6</v>
      </c>
    </row>
    <row r="2484" spans="1:6" ht="12.75" x14ac:dyDescent="0.2">
      <c r="A2484" s="1">
        <v>103</v>
      </c>
      <c r="B2484" s="1">
        <v>2</v>
      </c>
      <c r="C2484" s="1" t="s">
        <v>7</v>
      </c>
      <c r="D2484" s="1" t="s">
        <v>9</v>
      </c>
      <c r="E2484" s="1">
        <v>1.9153091907501201</v>
      </c>
      <c r="F2484" s="1">
        <f>Tabla1[[#This Row],[tiempo]]/(IF(Tabla1[[#This Row],[tamanho]]=$I$3,$L$3,IF(Tabla1[[#This Row],[tamanho]]=$I$4,$L$4,IF(Tabla1[[#This Row],[tamanho]]=$I$5,$L$5,IF(Tabla1[[#This Row],[tamanho]]=$I$6,$L$6,0))))*IF(C2484="8_1",9,25))</f>
        <v>4.174560414010571E-7</v>
      </c>
    </row>
    <row r="2485" spans="1:6" ht="12.75" x14ac:dyDescent="0.2">
      <c r="A2485" s="1">
        <v>103</v>
      </c>
      <c r="B2485" s="1">
        <v>2</v>
      </c>
      <c r="C2485" s="1" t="s">
        <v>8</v>
      </c>
      <c r="D2485" s="1" t="s">
        <v>9</v>
      </c>
      <c r="E2485" s="1">
        <v>1.9319822788238501</v>
      </c>
      <c r="F2485" s="1">
        <f>Tabla1[[#This Row],[tiempo]]/(IF(Tabla1[[#This Row],[tamanho]]=$I$3,$L$3,IF(Tabla1[[#This Row],[tamanho]]=$I$4,$L$4,IF(Tabla1[[#This Row],[tamanho]]=$I$5,$L$5,IF(Tabla1[[#This Row],[tamanho]]=$I$6,$L$6,0))))*IF(C2485="8_1",9,25))</f>
        <v>4.2109006632967168E-7</v>
      </c>
    </row>
    <row r="2486" spans="1:6" ht="12.75" x14ac:dyDescent="0.2">
      <c r="A2486" s="1">
        <v>103</v>
      </c>
      <c r="B2486" s="1">
        <v>3</v>
      </c>
      <c r="C2486" s="1" t="s">
        <v>5</v>
      </c>
      <c r="D2486" s="1" t="s">
        <v>6</v>
      </c>
      <c r="E2486" s="1">
        <v>3.8643064498901301</v>
      </c>
      <c r="F2486" s="1">
        <f>Tabla1[[#This Row],[tiempo]]/(IF(Tabla1[[#This Row],[tamanho]]=$I$3,$L$3,IF(Tabla1[[#This Row],[tamanho]]=$I$4,$L$4,IF(Tabla1[[#This Row],[tamanho]]=$I$5,$L$5,IF(Tabla1[[#This Row],[tamanho]]=$I$6,$L$6,0))))*IF(C2486="8_1",9,25))</f>
        <v>1.0389939899314114E-6</v>
      </c>
    </row>
    <row r="2487" spans="1:6" ht="12.75" x14ac:dyDescent="0.2">
      <c r="A2487" s="1">
        <v>103</v>
      </c>
      <c r="B2487" s="1">
        <v>3</v>
      </c>
      <c r="C2487" s="1" t="s">
        <v>7</v>
      </c>
      <c r="D2487" s="1" t="s">
        <v>6</v>
      </c>
      <c r="E2487" s="1">
        <v>4.3341038227081299</v>
      </c>
      <c r="F2487" s="1">
        <f>Tabla1[[#This Row],[tiempo]]/(IF(Tabla1[[#This Row],[tamanho]]=$I$3,$L$3,IF(Tabla1[[#This Row],[tamanho]]=$I$4,$L$4,IF(Tabla1[[#This Row],[tamanho]]=$I$5,$L$5,IF(Tabla1[[#This Row],[tamanho]]=$I$6,$L$6,0))))*IF(C2487="8_1",9,25))</f>
        <v>4.1951093617789877E-7</v>
      </c>
    </row>
    <row r="2488" spans="1:6" ht="12.75" x14ac:dyDescent="0.2">
      <c r="A2488" s="1">
        <v>103</v>
      </c>
      <c r="B2488" s="1">
        <v>3</v>
      </c>
      <c r="C2488" s="1" t="s">
        <v>8</v>
      </c>
      <c r="D2488" s="1" t="s">
        <v>6</v>
      </c>
      <c r="E2488" s="1">
        <v>4.31581687927246</v>
      </c>
      <c r="F2488" s="1">
        <f>Tabla1[[#This Row],[tiempo]]/(IF(Tabla1[[#This Row],[tamanho]]=$I$3,$L$3,IF(Tabla1[[#This Row],[tamanho]]=$I$4,$L$4,IF(Tabla1[[#This Row],[tamanho]]=$I$5,$L$5,IF(Tabla1[[#This Row],[tamanho]]=$I$6,$L$6,0))))*IF(C2488="8_1",9,25))</f>
        <v>4.1774088795701035E-7</v>
      </c>
    </row>
    <row r="2489" spans="1:6" ht="12.75" x14ac:dyDescent="0.2">
      <c r="A2489" s="1">
        <v>103</v>
      </c>
      <c r="B2489" s="1">
        <v>3</v>
      </c>
      <c r="C2489" s="1" t="s">
        <v>5</v>
      </c>
      <c r="D2489" s="1" t="s">
        <v>9</v>
      </c>
      <c r="E2489" s="1">
        <v>3.8505063056945801</v>
      </c>
      <c r="F2489" s="1">
        <f>Tabla1[[#This Row],[tiempo]]/(IF(Tabla1[[#This Row],[tamanho]]=$I$3,$L$3,IF(Tabla1[[#This Row],[tamanho]]=$I$4,$L$4,IF(Tabla1[[#This Row],[tamanho]]=$I$5,$L$5,IF(Tabla1[[#This Row],[tamanho]]=$I$6,$L$6,0))))*IF(C2489="8_1",9,25))</f>
        <v>1.0352835526083646E-6</v>
      </c>
    </row>
    <row r="2490" spans="1:6" ht="12.75" x14ac:dyDescent="0.2">
      <c r="A2490" s="1">
        <v>103</v>
      </c>
      <c r="B2490" s="1">
        <v>3</v>
      </c>
      <c r="C2490" s="1" t="s">
        <v>7</v>
      </c>
      <c r="D2490" s="1" t="s">
        <v>9</v>
      </c>
      <c r="E2490" s="1">
        <v>4.3303766250610298</v>
      </c>
      <c r="F2490" s="1">
        <f>Tabla1[[#This Row],[tiempo]]/(IF(Tabla1[[#This Row],[tamanho]]=$I$3,$L$3,IF(Tabla1[[#This Row],[tamanho]]=$I$4,$L$4,IF(Tabla1[[#This Row],[tamanho]]=$I$5,$L$5,IF(Tabla1[[#This Row],[tamanho]]=$I$6,$L$6,0))))*IF(C2490="8_1",9,25))</f>
        <v>4.1915016951465856E-7</v>
      </c>
    </row>
    <row r="2491" spans="1:6" ht="12.75" x14ac:dyDescent="0.2">
      <c r="A2491" s="1">
        <v>103</v>
      </c>
      <c r="B2491" s="1">
        <v>3</v>
      </c>
      <c r="C2491" s="1" t="s">
        <v>8</v>
      </c>
      <c r="D2491" s="1" t="s">
        <v>9</v>
      </c>
      <c r="E2491" s="1">
        <v>4.3722066879272399</v>
      </c>
      <c r="F2491" s="1">
        <f>Tabla1[[#This Row],[tiempo]]/(IF(Tabla1[[#This Row],[tamanho]]=$I$3,$L$3,IF(Tabla1[[#This Row],[tamanho]]=$I$4,$L$4,IF(Tabla1[[#This Row],[tamanho]]=$I$5,$L$5,IF(Tabla1[[#This Row],[tamanho]]=$I$6,$L$6,0))))*IF(C2491="8_1",9,25))</f>
        <v>4.2319902702966367E-7</v>
      </c>
    </row>
    <row r="2492" spans="1:6" ht="12.75" x14ac:dyDescent="0.2">
      <c r="A2492" s="1">
        <v>103</v>
      </c>
      <c r="B2492" s="1">
        <v>4</v>
      </c>
      <c r="C2492" s="1" t="s">
        <v>5</v>
      </c>
      <c r="D2492" s="1" t="s">
        <v>6</v>
      </c>
      <c r="E2492" s="1">
        <v>6.8619613647460902</v>
      </c>
      <c r="F2492" s="1">
        <f>Tabla1[[#This Row],[tiempo]]/(IF(Tabla1[[#This Row],[tamanho]]=$I$3,$L$3,IF(Tabla1[[#This Row],[tamanho]]=$I$4,$L$4,IF(Tabla1[[#This Row],[tamanho]]=$I$5,$L$5,IF(Tabla1[[#This Row],[tamanho]]=$I$6,$L$6,0))))*IF(C2492="8_1",9,25))</f>
        <v>1.0362014719136162E-6</v>
      </c>
    </row>
    <row r="2493" spans="1:6" ht="12.75" x14ac:dyDescent="0.2">
      <c r="A2493" s="1">
        <v>103</v>
      </c>
      <c r="B2493" s="1">
        <v>4</v>
      </c>
      <c r="C2493" s="1" t="s">
        <v>7</v>
      </c>
      <c r="D2493" s="1" t="s">
        <v>6</v>
      </c>
      <c r="E2493" s="1">
        <v>7.7334091663360596</v>
      </c>
      <c r="F2493" s="1">
        <f>Tabla1[[#This Row],[tiempo]]/(IF(Tabla1[[#This Row],[tamanho]]=$I$3,$L$3,IF(Tabla1[[#This Row],[tamanho]]=$I$4,$L$4,IF(Tabla1[[#This Row],[tamanho]]=$I$5,$L$5,IF(Tabla1[[#This Row],[tamanho]]=$I$6,$L$6,0))))*IF(C2493="8_1",9,25))</f>
        <v>4.2040650371559017E-7</v>
      </c>
    </row>
    <row r="2494" spans="1:6" ht="12.75" x14ac:dyDescent="0.2">
      <c r="A2494" s="1">
        <v>103</v>
      </c>
      <c r="B2494" s="1">
        <v>4</v>
      </c>
      <c r="C2494" s="1" t="s">
        <v>8</v>
      </c>
      <c r="D2494" s="1" t="s">
        <v>6</v>
      </c>
      <c r="E2494" s="1">
        <v>7.7396125793456996</v>
      </c>
      <c r="F2494" s="1">
        <f>Tabla1[[#This Row],[tiempo]]/(IF(Tabla1[[#This Row],[tamanho]]=$I$3,$L$3,IF(Tabla1[[#This Row],[tamanho]]=$I$4,$L$4,IF(Tabla1[[#This Row],[tamanho]]=$I$5,$L$5,IF(Tabla1[[#This Row],[tamanho]]=$I$6,$L$6,0))))*IF(C2494="8_1",9,25))</f>
        <v>4.2074373599160097E-7</v>
      </c>
    </row>
    <row r="2495" spans="1:6" ht="12.75" x14ac:dyDescent="0.2">
      <c r="A2495" s="1">
        <v>103</v>
      </c>
      <c r="B2495" s="1">
        <v>4</v>
      </c>
      <c r="C2495" s="1" t="s">
        <v>5</v>
      </c>
      <c r="D2495" s="1" t="s">
        <v>9</v>
      </c>
      <c r="E2495" s="1">
        <v>6.9014909267425502</v>
      </c>
      <c r="F2495" s="1">
        <f>Tabla1[[#This Row],[tiempo]]/(IF(Tabla1[[#This Row],[tamanho]]=$I$3,$L$3,IF(Tabla1[[#This Row],[tamanho]]=$I$4,$L$4,IF(Tabla1[[#This Row],[tamanho]]=$I$5,$L$5,IF(Tabla1[[#This Row],[tamanho]]=$I$6,$L$6,0))))*IF(C2495="8_1",9,25))</f>
        <v>1.0421706967674999E-6</v>
      </c>
    </row>
    <row r="2496" spans="1:6" ht="12.75" x14ac:dyDescent="0.2">
      <c r="A2496" s="1">
        <v>103</v>
      </c>
      <c r="B2496" s="1">
        <v>4</v>
      </c>
      <c r="C2496" s="1" t="s">
        <v>7</v>
      </c>
      <c r="D2496" s="1" t="s">
        <v>9</v>
      </c>
      <c r="E2496" s="1">
        <v>7.7654118537902797</v>
      </c>
      <c r="F2496" s="1">
        <f>Tabla1[[#This Row],[tiempo]]/(IF(Tabla1[[#This Row],[tamanho]]=$I$3,$L$3,IF(Tabla1[[#This Row],[tamanho]]=$I$4,$L$4,IF(Tabla1[[#This Row],[tamanho]]=$I$5,$L$5,IF(Tabla1[[#This Row],[tamanho]]=$I$6,$L$6,0))))*IF(C2496="8_1",9,25))</f>
        <v>4.2214624587234789E-7</v>
      </c>
    </row>
    <row r="2497" spans="1:6" ht="12.75" x14ac:dyDescent="0.2">
      <c r="A2497" s="1">
        <v>103</v>
      </c>
      <c r="B2497" s="1">
        <v>4</v>
      </c>
      <c r="C2497" s="1" t="s">
        <v>8</v>
      </c>
      <c r="D2497" s="1" t="s">
        <v>9</v>
      </c>
      <c r="E2497" s="1">
        <v>7.7832260131835902</v>
      </c>
      <c r="F2497" s="1">
        <f>Tabla1[[#This Row],[tiempo]]/(IF(Tabla1[[#This Row],[tamanho]]=$I$3,$L$3,IF(Tabla1[[#This Row],[tamanho]]=$I$4,$L$4,IF(Tabla1[[#This Row],[tamanho]]=$I$5,$L$5,IF(Tabla1[[#This Row],[tamanho]]=$I$6,$L$6,0))))*IF(C2497="8_1",9,25))</f>
        <v>4.2311466591919795E-7</v>
      </c>
    </row>
    <row r="2498" spans="1:6" ht="12.75" x14ac:dyDescent="0.2">
      <c r="A2498" s="1">
        <v>104</v>
      </c>
      <c r="B2498" s="1">
        <v>1</v>
      </c>
      <c r="C2498" s="1" t="s">
        <v>5</v>
      </c>
      <c r="D2498" s="1" t="s">
        <v>6</v>
      </c>
      <c r="E2498" s="1">
        <v>0.41346287727355902</v>
      </c>
      <c r="F2498" s="1">
        <f>Tabla1[[#This Row],[tiempo]]/(IF(Tabla1[[#This Row],[tamanho]]=$I$3,$L$3,IF(Tabla1[[#This Row],[tamanho]]=$I$4,$L$4,IF(Tabla1[[#This Row],[tamanho]]=$I$5,$L$5,IF(Tabla1[[#This Row],[tamanho]]=$I$6,$L$6,0))))*IF(C2498="8_1",9,25))</f>
        <v>1.7039545898543122E-6</v>
      </c>
    </row>
    <row r="2499" spans="1:6" ht="12.75" x14ac:dyDescent="0.2">
      <c r="A2499" s="1">
        <v>104</v>
      </c>
      <c r="B2499" s="1">
        <v>1</v>
      </c>
      <c r="C2499" s="1" t="s">
        <v>7</v>
      </c>
      <c r="D2499" s="1" t="s">
        <v>6</v>
      </c>
      <c r="E2499" s="1">
        <v>0.46194529533386203</v>
      </c>
      <c r="F2499" s="1">
        <f>Tabla1[[#This Row],[tiempo]]/(IF(Tabla1[[#This Row],[tamanho]]=$I$3,$L$3,IF(Tabla1[[#This Row],[tamanho]]=$I$4,$L$4,IF(Tabla1[[#This Row],[tamanho]]=$I$5,$L$5,IF(Tabla1[[#This Row],[tamanho]]=$I$6,$L$6,0))))*IF(C2499="8_1",9,25))</f>
        <v>6.8535335534121444E-7</v>
      </c>
    </row>
    <row r="2500" spans="1:6" ht="12.75" x14ac:dyDescent="0.2">
      <c r="A2500" s="1">
        <v>104</v>
      </c>
      <c r="B2500" s="1">
        <v>1</v>
      </c>
      <c r="C2500" s="1" t="s">
        <v>8</v>
      </c>
      <c r="D2500" s="1" t="s">
        <v>6</v>
      </c>
      <c r="E2500" s="1">
        <v>0.46563243865966703</v>
      </c>
      <c r="F2500" s="1">
        <f>Tabla1[[#This Row],[tiempo]]/(IF(Tabla1[[#This Row],[tamanho]]=$I$3,$L$3,IF(Tabla1[[#This Row],[tamanho]]=$I$4,$L$4,IF(Tabla1[[#This Row],[tamanho]]=$I$5,$L$5,IF(Tabla1[[#This Row],[tamanho]]=$I$6,$L$6,0))))*IF(C2500="8_1",9,25))</f>
        <v>6.9082369149462858E-7</v>
      </c>
    </row>
    <row r="2501" spans="1:6" ht="12.75" x14ac:dyDescent="0.2">
      <c r="A2501" s="1">
        <v>104</v>
      </c>
      <c r="B2501" s="1">
        <v>1</v>
      </c>
      <c r="C2501" s="1" t="s">
        <v>5</v>
      </c>
      <c r="D2501" s="1" t="s">
        <v>9</v>
      </c>
      <c r="E2501" s="1">
        <v>0.40747737884521401</v>
      </c>
      <c r="F2501" s="1">
        <f>Tabla1[[#This Row],[tiempo]]/(IF(Tabla1[[#This Row],[tamanho]]=$I$3,$L$3,IF(Tabla1[[#This Row],[tamanho]]=$I$4,$L$4,IF(Tabla1[[#This Row],[tamanho]]=$I$5,$L$5,IF(Tabla1[[#This Row],[tamanho]]=$I$6,$L$6,0))))*IF(C2501="8_1",9,25))</f>
        <v>1.6792872785184115E-6</v>
      </c>
    </row>
    <row r="2502" spans="1:6" ht="12.75" x14ac:dyDescent="0.2">
      <c r="A2502" s="1">
        <v>104</v>
      </c>
      <c r="B2502" s="1">
        <v>1</v>
      </c>
      <c r="C2502" s="1" t="s">
        <v>7</v>
      </c>
      <c r="D2502" s="1" t="s">
        <v>9</v>
      </c>
      <c r="E2502" s="1">
        <v>0.46248769760131803</v>
      </c>
      <c r="F2502" s="1">
        <f>Tabla1[[#This Row],[tiempo]]/(IF(Tabla1[[#This Row],[tamanho]]=$I$3,$L$3,IF(Tabla1[[#This Row],[tamanho]]=$I$4,$L$4,IF(Tabla1[[#This Row],[tamanho]]=$I$5,$L$5,IF(Tabla1[[#This Row],[tamanho]]=$I$6,$L$6,0))))*IF(C2502="8_1",9,25))</f>
        <v>6.8615807663116063E-7</v>
      </c>
    </row>
    <row r="2503" spans="1:6" ht="12.75" x14ac:dyDescent="0.2">
      <c r="A2503" s="1">
        <v>104</v>
      </c>
      <c r="B2503" s="1">
        <v>1</v>
      </c>
      <c r="C2503" s="1" t="s">
        <v>8</v>
      </c>
      <c r="D2503" s="1" t="s">
        <v>9</v>
      </c>
      <c r="E2503" s="1">
        <v>0.47059559822082497</v>
      </c>
      <c r="F2503" s="1">
        <f>Tabla1[[#This Row],[tiempo]]/(IF(Tabla1[[#This Row],[tamanho]]=$I$3,$L$3,IF(Tabla1[[#This Row],[tamanho]]=$I$4,$L$4,IF(Tabla1[[#This Row],[tamanho]]=$I$5,$L$5,IF(Tabla1[[#This Row],[tamanho]]=$I$6,$L$6,0))))*IF(C2503="8_1",9,25))</f>
        <v>6.981871565903712E-7</v>
      </c>
    </row>
    <row r="2504" spans="1:6" ht="12.75" x14ac:dyDescent="0.2">
      <c r="A2504" s="1">
        <v>104</v>
      </c>
      <c r="B2504" s="1">
        <v>2</v>
      </c>
      <c r="C2504" s="1" t="s">
        <v>5</v>
      </c>
      <c r="D2504" s="1" t="s">
        <v>6</v>
      </c>
      <c r="E2504" s="1">
        <v>1.7122790813446001</v>
      </c>
      <c r="F2504" s="1">
        <f>Tabla1[[#This Row],[tiempo]]/(IF(Tabla1[[#This Row],[tamanho]]=$I$3,$L$3,IF(Tabla1[[#This Row],[tamanho]]=$I$4,$L$4,IF(Tabla1[[#This Row],[tamanho]]=$I$5,$L$5,IF(Tabla1[[#This Row],[tamanho]]=$I$6,$L$6,0))))*IF(C2504="8_1",9,25))</f>
        <v>1.0366780618155378E-6</v>
      </c>
    </row>
    <row r="2505" spans="1:6" ht="12.75" x14ac:dyDescent="0.2">
      <c r="A2505" s="1">
        <v>104</v>
      </c>
      <c r="B2505" s="1">
        <v>2</v>
      </c>
      <c r="C2505" s="1" t="s">
        <v>7</v>
      </c>
      <c r="D2505" s="1" t="s">
        <v>6</v>
      </c>
      <c r="E2505" s="1">
        <v>1.91628313064575</v>
      </c>
      <c r="F2505" s="1">
        <f>Tabla1[[#This Row],[tiempo]]/(IF(Tabla1[[#This Row],[tamanho]]=$I$3,$L$3,IF(Tabla1[[#This Row],[tamanho]]=$I$4,$L$4,IF(Tabla1[[#This Row],[tamanho]]=$I$5,$L$5,IF(Tabla1[[#This Row],[tamanho]]=$I$6,$L$6,0))))*IF(C2505="8_1",9,25))</f>
        <v>4.1766831892541493E-7</v>
      </c>
    </row>
    <row r="2506" spans="1:6" ht="12.75" x14ac:dyDescent="0.2">
      <c r="A2506" s="1">
        <v>104</v>
      </c>
      <c r="B2506" s="1">
        <v>2</v>
      </c>
      <c r="C2506" s="1" t="s">
        <v>8</v>
      </c>
      <c r="D2506" s="1" t="s">
        <v>6</v>
      </c>
      <c r="E2506" s="1">
        <v>1.923672914505</v>
      </c>
      <c r="F2506" s="1">
        <f>Tabla1[[#This Row],[tiempo]]/(IF(Tabla1[[#This Row],[tamanho]]=$I$3,$L$3,IF(Tabla1[[#This Row],[tamanho]]=$I$4,$L$4,IF(Tabla1[[#This Row],[tamanho]]=$I$5,$L$5,IF(Tabla1[[#This Row],[tamanho]]=$I$6,$L$6,0))))*IF(C2506="8_1",9,25))</f>
        <v>4.1927897788929939E-7</v>
      </c>
    </row>
    <row r="2507" spans="1:6" ht="12.75" x14ac:dyDescent="0.2">
      <c r="A2507" s="1">
        <v>104</v>
      </c>
      <c r="B2507" s="1">
        <v>2</v>
      </c>
      <c r="C2507" s="1" t="s">
        <v>5</v>
      </c>
      <c r="D2507" s="1" t="s">
        <v>9</v>
      </c>
      <c r="E2507" s="1">
        <v>1.7137105464935301</v>
      </c>
      <c r="F2507" s="1">
        <f>Tabla1[[#This Row],[tiempo]]/(IF(Tabla1[[#This Row],[tamanho]]=$I$3,$L$3,IF(Tabla1[[#This Row],[tamanho]]=$I$4,$L$4,IF(Tabla1[[#This Row],[tamanho]]=$I$5,$L$5,IF(Tabla1[[#This Row],[tamanho]]=$I$6,$L$6,0))))*IF(C2507="8_1",9,25))</f>
        <v>1.0375447245764843E-6</v>
      </c>
    </row>
    <row r="2508" spans="1:6" ht="12.75" x14ac:dyDescent="0.2">
      <c r="A2508" s="1">
        <v>104</v>
      </c>
      <c r="B2508" s="1">
        <v>2</v>
      </c>
      <c r="C2508" s="1" t="s">
        <v>7</v>
      </c>
      <c r="D2508" s="1" t="s">
        <v>9</v>
      </c>
      <c r="E2508" s="1">
        <v>1.92019939422607</v>
      </c>
      <c r="F2508" s="1">
        <f>Tabla1[[#This Row],[tiempo]]/(IF(Tabla1[[#This Row],[tamanho]]=$I$3,$L$3,IF(Tabla1[[#This Row],[tamanho]]=$I$4,$L$4,IF(Tabla1[[#This Row],[tamanho]]=$I$5,$L$5,IF(Tabla1[[#This Row],[tamanho]]=$I$6,$L$6,0))))*IF(C2508="8_1",9,25))</f>
        <v>4.1852189802335849E-7</v>
      </c>
    </row>
    <row r="2509" spans="1:6" ht="12.75" x14ac:dyDescent="0.2">
      <c r="A2509" s="1">
        <v>104</v>
      </c>
      <c r="B2509" s="1">
        <v>2</v>
      </c>
      <c r="C2509" s="1" t="s">
        <v>8</v>
      </c>
      <c r="D2509" s="1" t="s">
        <v>9</v>
      </c>
      <c r="E2509" s="1">
        <v>1.9296631813049301</v>
      </c>
      <c r="F2509" s="1">
        <f>Tabla1[[#This Row],[tiempo]]/(IF(Tabla1[[#This Row],[tamanho]]=$I$3,$L$3,IF(Tabla1[[#This Row],[tamanho]]=$I$4,$L$4,IF(Tabla1[[#This Row],[tamanho]]=$I$5,$L$5,IF(Tabla1[[#This Row],[tamanho]]=$I$6,$L$6,0))))*IF(C2509="8_1",9,25))</f>
        <v>4.205846015856257E-7</v>
      </c>
    </row>
    <row r="2510" spans="1:6" ht="12.75" x14ac:dyDescent="0.2">
      <c r="A2510" s="1">
        <v>104</v>
      </c>
      <c r="B2510" s="1">
        <v>3</v>
      </c>
      <c r="C2510" s="1" t="s">
        <v>5</v>
      </c>
      <c r="D2510" s="1" t="s">
        <v>6</v>
      </c>
      <c r="E2510" s="1">
        <v>3.8250856399536102</v>
      </c>
      <c r="F2510" s="1">
        <f>Tabla1[[#This Row],[tiempo]]/(IF(Tabla1[[#This Row],[tamanho]]=$I$3,$L$3,IF(Tabla1[[#This Row],[tamanho]]=$I$4,$L$4,IF(Tabla1[[#This Row],[tamanho]]=$I$5,$L$5,IF(Tabla1[[#This Row],[tamanho]]=$I$6,$L$6,0))))*IF(C2510="8_1",9,25))</f>
        <v>1.0284487119280467E-6</v>
      </c>
    </row>
    <row r="2511" spans="1:6" ht="12.75" x14ac:dyDescent="0.2">
      <c r="A2511" s="1">
        <v>104</v>
      </c>
      <c r="B2511" s="1">
        <v>3</v>
      </c>
      <c r="C2511" s="1" t="s">
        <v>7</v>
      </c>
      <c r="D2511" s="1" t="s">
        <v>6</v>
      </c>
      <c r="E2511" s="1">
        <v>4.3433170318603498</v>
      </c>
      <c r="F2511" s="1">
        <f>Tabla1[[#This Row],[tiempo]]/(IF(Tabla1[[#This Row],[tamanho]]=$I$3,$L$3,IF(Tabla1[[#This Row],[tamanho]]=$I$4,$L$4,IF(Tabla1[[#This Row],[tamanho]]=$I$5,$L$5,IF(Tabla1[[#This Row],[tamanho]]=$I$6,$L$6,0))))*IF(C2511="8_1",9,25))</f>
        <v>4.2040271038422951E-7</v>
      </c>
    </row>
    <row r="2512" spans="1:6" ht="12.75" x14ac:dyDescent="0.2">
      <c r="A2512" s="1">
        <v>104</v>
      </c>
      <c r="B2512" s="1">
        <v>3</v>
      </c>
      <c r="C2512" s="1" t="s">
        <v>8</v>
      </c>
      <c r="D2512" s="1" t="s">
        <v>6</v>
      </c>
      <c r="E2512" s="1">
        <v>4.3246386051177899</v>
      </c>
      <c r="F2512" s="1">
        <f>Tabla1[[#This Row],[tiempo]]/(IF(Tabla1[[#This Row],[tamanho]]=$I$3,$L$3,IF(Tabla1[[#This Row],[tamanho]]=$I$4,$L$4,IF(Tabla1[[#This Row],[tamanho]]=$I$5,$L$5,IF(Tabla1[[#This Row],[tamanho]]=$I$6,$L$6,0))))*IF(C2512="8_1",9,25))</f>
        <v>4.1859476931737121E-7</v>
      </c>
    </row>
    <row r="2513" spans="1:6" ht="12.75" x14ac:dyDescent="0.2">
      <c r="A2513" s="1">
        <v>104</v>
      </c>
      <c r="B2513" s="1">
        <v>3</v>
      </c>
      <c r="C2513" s="1" t="s">
        <v>5</v>
      </c>
      <c r="D2513" s="1" t="s">
        <v>9</v>
      </c>
      <c r="E2513" s="1">
        <v>3.8465230464935298</v>
      </c>
      <c r="F2513" s="1">
        <f>Tabla1[[#This Row],[tiempo]]/(IF(Tabla1[[#This Row],[tamanho]]=$I$3,$L$3,IF(Tabla1[[#This Row],[tamanho]]=$I$4,$L$4,IF(Tabla1[[#This Row],[tamanho]]=$I$5,$L$5,IF(Tabla1[[#This Row],[tamanho]]=$I$6,$L$6,0))))*IF(C2513="8_1",9,25))</f>
        <v>1.0342125758564178E-6</v>
      </c>
    </row>
    <row r="2514" spans="1:6" ht="12.75" x14ac:dyDescent="0.2">
      <c r="A2514" s="1">
        <v>104</v>
      </c>
      <c r="B2514" s="1">
        <v>3</v>
      </c>
      <c r="C2514" s="1" t="s">
        <v>7</v>
      </c>
      <c r="D2514" s="1" t="s">
        <v>9</v>
      </c>
      <c r="E2514" s="1">
        <v>4.30098223686218</v>
      </c>
      <c r="F2514" s="1">
        <f>Tabla1[[#This Row],[tiempo]]/(IF(Tabla1[[#This Row],[tamanho]]=$I$3,$L$3,IF(Tabla1[[#This Row],[tamanho]]=$I$4,$L$4,IF(Tabla1[[#This Row],[tamanho]]=$I$5,$L$5,IF(Tabla1[[#This Row],[tamanho]]=$I$6,$L$6,0))))*IF(C2514="8_1",9,25))</f>
        <v>4.1630499832907978E-7</v>
      </c>
    </row>
    <row r="2515" spans="1:6" ht="12.75" x14ac:dyDescent="0.2">
      <c r="A2515" s="1">
        <v>104</v>
      </c>
      <c r="B2515" s="1">
        <v>3</v>
      </c>
      <c r="C2515" s="1" t="s">
        <v>8</v>
      </c>
      <c r="D2515" s="1" t="s">
        <v>9</v>
      </c>
      <c r="E2515" s="1">
        <v>4.3656899929046604</v>
      </c>
      <c r="F2515" s="1">
        <f>Tabla1[[#This Row],[tiempo]]/(IF(Tabla1[[#This Row],[tamanho]]=$I$3,$L$3,IF(Tabla1[[#This Row],[tamanho]]=$I$4,$L$4,IF(Tabla1[[#This Row],[tamanho]]=$I$5,$L$5,IF(Tabla1[[#This Row],[tamanho]]=$I$6,$L$6,0))))*IF(C2515="8_1",9,25))</f>
        <v>4.2256825653095422E-7</v>
      </c>
    </row>
    <row r="2516" spans="1:6" ht="12.75" x14ac:dyDescent="0.2">
      <c r="A2516" s="1">
        <v>104</v>
      </c>
      <c r="B2516" s="1">
        <v>4</v>
      </c>
      <c r="C2516" s="1" t="s">
        <v>5</v>
      </c>
      <c r="D2516" s="1" t="s">
        <v>6</v>
      </c>
      <c r="E2516" s="1">
        <v>6.8629963397979701</v>
      </c>
      <c r="F2516" s="1">
        <f>Tabla1[[#This Row],[tiempo]]/(IF(Tabla1[[#This Row],[tamanho]]=$I$3,$L$3,IF(Tabla1[[#This Row],[tamanho]]=$I$4,$L$4,IF(Tabla1[[#This Row],[tamanho]]=$I$5,$L$5,IF(Tabla1[[#This Row],[tamanho]]=$I$6,$L$6,0))))*IF(C2516="8_1",9,25))</f>
        <v>1.036357759979833E-6</v>
      </c>
    </row>
    <row r="2517" spans="1:6" ht="12.75" x14ac:dyDescent="0.2">
      <c r="A2517" s="1">
        <v>104</v>
      </c>
      <c r="B2517" s="1">
        <v>4</v>
      </c>
      <c r="C2517" s="1" t="s">
        <v>7</v>
      </c>
      <c r="D2517" s="1" t="s">
        <v>6</v>
      </c>
      <c r="E2517" s="1">
        <v>7.6882255077361998</v>
      </c>
      <c r="F2517" s="1">
        <f>Tabla1[[#This Row],[tiempo]]/(IF(Tabla1[[#This Row],[tamanho]]=$I$3,$L$3,IF(Tabla1[[#This Row],[tamanho]]=$I$4,$L$4,IF(Tabla1[[#This Row],[tamanho]]=$I$5,$L$5,IF(Tabla1[[#This Row],[tamanho]]=$I$6,$L$6,0))))*IF(C2517="8_1",9,25))</f>
        <v>4.1795021263768699E-7</v>
      </c>
    </row>
    <row r="2518" spans="1:6" ht="12.75" x14ac:dyDescent="0.2">
      <c r="A2518" s="1">
        <v>104</v>
      </c>
      <c r="B2518" s="1">
        <v>4</v>
      </c>
      <c r="C2518" s="1" t="s">
        <v>8</v>
      </c>
      <c r="D2518" s="1" t="s">
        <v>6</v>
      </c>
      <c r="E2518" s="1">
        <v>7.6576426029205296</v>
      </c>
      <c r="F2518" s="1">
        <f>Tabla1[[#This Row],[tiempo]]/(IF(Tabla1[[#This Row],[tamanho]]=$I$3,$L$3,IF(Tabla1[[#This Row],[tamanho]]=$I$4,$L$4,IF(Tabla1[[#This Row],[tamanho]]=$I$5,$L$5,IF(Tabla1[[#This Row],[tamanho]]=$I$6,$L$6,0))))*IF(C2518="8_1",9,25))</f>
        <v>4.162876532398226E-7</v>
      </c>
    </row>
    <row r="2519" spans="1:6" ht="12.75" x14ac:dyDescent="0.2">
      <c r="A2519" s="1">
        <v>104</v>
      </c>
      <c r="B2519" s="1">
        <v>4</v>
      </c>
      <c r="C2519" s="1" t="s">
        <v>5</v>
      </c>
      <c r="D2519" s="1" t="s">
        <v>9</v>
      </c>
      <c r="E2519" s="1">
        <v>6.8497810363769496</v>
      </c>
      <c r="F2519" s="1">
        <f>Tabla1[[#This Row],[tiempo]]/(IF(Tabla1[[#This Row],[tamanho]]=$I$3,$L$3,IF(Tabla1[[#This Row],[tamanho]]=$I$4,$L$4,IF(Tabla1[[#This Row],[tamanho]]=$I$5,$L$5,IF(Tabla1[[#This Row],[tamanho]]=$I$6,$L$6,0))))*IF(C2519="8_1",9,25))</f>
        <v>1.0343621619097245E-6</v>
      </c>
    </row>
    <row r="2520" spans="1:6" ht="12.75" x14ac:dyDescent="0.2">
      <c r="A2520" s="1">
        <v>104</v>
      </c>
      <c r="B2520" s="1">
        <v>4</v>
      </c>
      <c r="C2520" s="1" t="s">
        <v>7</v>
      </c>
      <c r="D2520" s="1" t="s">
        <v>9</v>
      </c>
      <c r="E2520" s="1">
        <v>7.7024917602539</v>
      </c>
      <c r="F2520" s="1">
        <f>Tabla1[[#This Row],[tiempo]]/(IF(Tabla1[[#This Row],[tamanho]]=$I$3,$L$3,IF(Tabla1[[#This Row],[tamanho]]=$I$4,$L$4,IF(Tabla1[[#This Row],[tamanho]]=$I$5,$L$5,IF(Tabla1[[#This Row],[tamanho]]=$I$6,$L$6,0))))*IF(C2520="8_1",9,25))</f>
        <v>4.1872576003380796E-7</v>
      </c>
    </row>
    <row r="2521" spans="1:6" ht="12.75" x14ac:dyDescent="0.2">
      <c r="A2521" s="1">
        <v>104</v>
      </c>
      <c r="B2521" s="1">
        <v>4</v>
      </c>
      <c r="C2521" s="1" t="s">
        <v>8</v>
      </c>
      <c r="D2521" s="1" t="s">
        <v>9</v>
      </c>
      <c r="E2521" s="1">
        <v>7.7270774841308496</v>
      </c>
      <c r="F2521" s="1">
        <f>Tabla1[[#This Row],[tiempo]]/(IF(Tabla1[[#This Row],[tamanho]]=$I$3,$L$3,IF(Tabla1[[#This Row],[tamanho]]=$I$4,$L$4,IF(Tabla1[[#This Row],[tamanho]]=$I$5,$L$5,IF(Tabla1[[#This Row],[tamanho]]=$I$6,$L$6,0))))*IF(C2521="8_1",9,25))</f>
        <v>4.2006229842122688E-7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Eduardo Lizalda Valencia</cp:lastModifiedBy>
  <dcterms:modified xsi:type="dcterms:W3CDTF">2019-11-26T22:53:31Z</dcterms:modified>
</cp:coreProperties>
</file>